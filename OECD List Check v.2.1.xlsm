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ain.studer\Desktop\"/>
    </mc:Choice>
  </mc:AlternateContent>
  <bookViews>
    <workbookView xWindow="0" yWindow="0" windowWidth="16815" windowHeight="5430" firstSheet="3" activeTab="8"/>
  </bookViews>
  <sheets>
    <sheet name="Overview" sheetId="3" r:id="rId1"/>
    <sheet name="Matching Countries" sheetId="20" r:id="rId2"/>
    <sheet name="Missing Countries" sheetId="21" r:id="rId3"/>
    <sheet name="variables" sheetId="6" r:id="rId4"/>
    <sheet name="country in ava non oecd" sheetId="33" r:id="rId5"/>
    <sheet name="country in oecd non ava" sheetId="28" r:id="rId6"/>
    <sheet name="curry in ava non oecd" sheetId="27" r:id="rId7"/>
    <sheet name="curry in oecd non ava" sheetId="26" r:id="rId8"/>
    <sheet name="currCode_Type" sheetId="1" r:id="rId9"/>
    <sheet name="CountryCode_Type" sheetId="2" r:id="rId10"/>
    <sheet name="OECD Table" sheetId="4" r:id="rId11"/>
    <sheet name="Currency Check Script" sheetId="5" r:id="rId12"/>
  </sheets>
  <definedNames>
    <definedName name="_xlnm._FilterDatabase" localSheetId="8" hidden="1">currCode_Type!$C$1:$C$184</definedName>
    <definedName name="_xlnm._FilterDatabase" localSheetId="10" hidden="1">'OECD Table'!$A$1:$D$250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5" l="1"/>
  <c r="C10" i="4" l="1"/>
  <c r="C16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" i="4"/>
  <c r="C3" i="4"/>
  <c r="E3" i="4" s="1"/>
  <c r="C4" i="4"/>
  <c r="C5" i="4"/>
  <c r="E5" i="4" s="1"/>
  <c r="C6" i="4"/>
  <c r="C7" i="4"/>
  <c r="E7" i="4" s="1"/>
  <c r="C8" i="4"/>
  <c r="C9" i="4"/>
  <c r="E9" i="4" s="1"/>
  <c r="C11" i="4"/>
  <c r="E11" i="4" s="1"/>
  <c r="C12" i="4"/>
  <c r="E12" i="4" s="1"/>
  <c r="C13" i="4"/>
  <c r="E13" i="4" s="1"/>
  <c r="C14" i="4"/>
  <c r="E14" i="4" s="1"/>
  <c r="C15" i="4"/>
  <c r="E15" i="4" s="1"/>
  <c r="C17" i="4"/>
  <c r="E17" i="4" s="1"/>
  <c r="C18" i="4"/>
  <c r="C19" i="4"/>
  <c r="C20" i="4"/>
  <c r="C21" i="4"/>
  <c r="E21" i="4" s="1"/>
  <c r="C22" i="4"/>
  <c r="C23" i="4"/>
  <c r="C24" i="4"/>
  <c r="C25" i="4"/>
  <c r="E25" i="4" s="1"/>
  <c r="C26" i="4"/>
  <c r="C27" i="4"/>
  <c r="C28" i="4"/>
  <c r="C29" i="4"/>
  <c r="E29" i="4" s="1"/>
  <c r="C30" i="4"/>
  <c r="C31" i="4"/>
  <c r="C32" i="4"/>
  <c r="C33" i="4"/>
  <c r="E33" i="4" s="1"/>
  <c r="C34" i="4"/>
  <c r="C35" i="4"/>
  <c r="C36" i="4"/>
  <c r="C37" i="4"/>
  <c r="E37" i="4" s="1"/>
  <c r="C38" i="4"/>
  <c r="C39" i="4"/>
  <c r="C40" i="4"/>
  <c r="C41" i="4"/>
  <c r="E41" i="4" s="1"/>
  <c r="C42" i="4"/>
  <c r="C43" i="4"/>
  <c r="C44" i="4"/>
  <c r="C45" i="4"/>
  <c r="E45" i="4" s="1"/>
  <c r="C46" i="4"/>
  <c r="C47" i="4"/>
  <c r="C48" i="4"/>
  <c r="C49" i="4"/>
  <c r="E49" i="4" s="1"/>
  <c r="C50" i="4"/>
  <c r="C51" i="4"/>
  <c r="C52" i="4"/>
  <c r="C53" i="4"/>
  <c r="E53" i="4" s="1"/>
  <c r="C54" i="4"/>
  <c r="C55" i="4"/>
  <c r="C56" i="4"/>
  <c r="C57" i="4"/>
  <c r="E57" i="4" s="1"/>
  <c r="C58" i="4"/>
  <c r="C59" i="4"/>
  <c r="C60" i="4"/>
  <c r="C61" i="4"/>
  <c r="E61" i="4" s="1"/>
  <c r="C62" i="4"/>
  <c r="C63" i="4"/>
  <c r="C64" i="4"/>
  <c r="C65" i="4"/>
  <c r="E65" i="4" s="1"/>
  <c r="C66" i="4"/>
  <c r="C67" i="4"/>
  <c r="C68" i="4"/>
  <c r="C69" i="4"/>
  <c r="E69" i="4" s="1"/>
  <c r="C70" i="4"/>
  <c r="C71" i="4"/>
  <c r="C72" i="4"/>
  <c r="C73" i="4"/>
  <c r="E73" i="4" s="1"/>
  <c r="C74" i="4"/>
  <c r="C75" i="4"/>
  <c r="C76" i="4"/>
  <c r="C77" i="4"/>
  <c r="E77" i="4" s="1"/>
  <c r="C78" i="4"/>
  <c r="C79" i="4"/>
  <c r="C80" i="4"/>
  <c r="C81" i="4"/>
  <c r="E81" i="4" s="1"/>
  <c r="C82" i="4"/>
  <c r="C83" i="4"/>
  <c r="C84" i="4"/>
  <c r="C85" i="4"/>
  <c r="E85" i="4" s="1"/>
  <c r="C86" i="4"/>
  <c r="C87" i="4"/>
  <c r="C88" i="4"/>
  <c r="C89" i="4"/>
  <c r="E89" i="4" s="1"/>
  <c r="C90" i="4"/>
  <c r="C91" i="4"/>
  <c r="C92" i="4"/>
  <c r="C93" i="4"/>
  <c r="E93" i="4" s="1"/>
  <c r="C94" i="4"/>
  <c r="C95" i="4"/>
  <c r="C96" i="4"/>
  <c r="C97" i="4"/>
  <c r="E97" i="4" s="1"/>
  <c r="C98" i="4"/>
  <c r="C99" i="4"/>
  <c r="C100" i="4"/>
  <c r="C101" i="4"/>
  <c r="E101" i="4" s="1"/>
  <c r="C102" i="4"/>
  <c r="C103" i="4"/>
  <c r="C104" i="4"/>
  <c r="C105" i="4"/>
  <c r="E105" i="4" s="1"/>
  <c r="C106" i="4"/>
  <c r="C107" i="4"/>
  <c r="C108" i="4"/>
  <c r="C109" i="4"/>
  <c r="E109" i="4" s="1"/>
  <c r="C110" i="4"/>
  <c r="C111" i="4"/>
  <c r="C112" i="4"/>
  <c r="C113" i="4"/>
  <c r="E113" i="4" s="1"/>
  <c r="C114" i="4"/>
  <c r="C115" i="4"/>
  <c r="C116" i="4"/>
  <c r="C117" i="4"/>
  <c r="E117" i="4" s="1"/>
  <c r="C118" i="4"/>
  <c r="C119" i="4"/>
  <c r="C120" i="4"/>
  <c r="C121" i="4"/>
  <c r="E121" i="4" s="1"/>
  <c r="C122" i="4"/>
  <c r="C123" i="4"/>
  <c r="C124" i="4"/>
  <c r="C125" i="4"/>
  <c r="E125" i="4" s="1"/>
  <c r="C126" i="4"/>
  <c r="C127" i="4"/>
  <c r="C128" i="4"/>
  <c r="C129" i="4"/>
  <c r="E129" i="4" s="1"/>
  <c r="C130" i="4"/>
  <c r="C131" i="4"/>
  <c r="C132" i="4"/>
  <c r="C133" i="4"/>
  <c r="E133" i="4" s="1"/>
  <c r="C134" i="4"/>
  <c r="C135" i="4"/>
  <c r="C136" i="4"/>
  <c r="C137" i="4"/>
  <c r="E137" i="4" s="1"/>
  <c r="C138" i="4"/>
  <c r="C139" i="4"/>
  <c r="C140" i="4"/>
  <c r="C141" i="4"/>
  <c r="E141" i="4" s="1"/>
  <c r="C142" i="4"/>
  <c r="C143" i="4"/>
  <c r="C144" i="4"/>
  <c r="C145" i="4"/>
  <c r="E145" i="4" s="1"/>
  <c r="C146" i="4"/>
  <c r="C147" i="4"/>
  <c r="C148" i="4"/>
  <c r="C149" i="4"/>
  <c r="E149" i="4" s="1"/>
  <c r="C150" i="4"/>
  <c r="C151" i="4"/>
  <c r="C152" i="4"/>
  <c r="C153" i="4"/>
  <c r="E153" i="4" s="1"/>
  <c r="C154" i="4"/>
  <c r="C155" i="4"/>
  <c r="C156" i="4"/>
  <c r="C157" i="4"/>
  <c r="E157" i="4" s="1"/>
  <c r="C158" i="4"/>
  <c r="C159" i="4"/>
  <c r="C160" i="4"/>
  <c r="C161" i="4"/>
  <c r="E161" i="4" s="1"/>
  <c r="C162" i="4"/>
  <c r="C163" i="4"/>
  <c r="C164" i="4"/>
  <c r="C165" i="4"/>
  <c r="E165" i="4" s="1"/>
  <c r="C166" i="4"/>
  <c r="C167" i="4"/>
  <c r="C168" i="4"/>
  <c r="C169" i="4"/>
  <c r="E169" i="4" s="1"/>
  <c r="C170" i="4"/>
  <c r="C171" i="4"/>
  <c r="C172" i="4"/>
  <c r="C173" i="4"/>
  <c r="E173" i="4" s="1"/>
  <c r="C174" i="4"/>
  <c r="C175" i="4"/>
  <c r="C176" i="4"/>
  <c r="C177" i="4"/>
  <c r="E177" i="4" s="1"/>
  <c r="C178" i="4"/>
  <c r="C179" i="4"/>
  <c r="C180" i="4"/>
  <c r="C181" i="4"/>
  <c r="E181" i="4" s="1"/>
  <c r="C182" i="4"/>
  <c r="C183" i="4"/>
  <c r="C184" i="4"/>
  <c r="C185" i="4"/>
  <c r="E185" i="4" s="1"/>
  <c r="C186" i="4"/>
  <c r="C187" i="4"/>
  <c r="C188" i="4"/>
  <c r="C189" i="4"/>
  <c r="E189" i="4" s="1"/>
  <c r="C190" i="4"/>
  <c r="C191" i="4"/>
  <c r="C192" i="4"/>
  <c r="C193" i="4"/>
  <c r="E193" i="4" s="1"/>
  <c r="C194" i="4"/>
  <c r="C195" i="4"/>
  <c r="C196" i="4"/>
  <c r="C197" i="4"/>
  <c r="E197" i="4" s="1"/>
  <c r="C198" i="4"/>
  <c r="C199" i="4"/>
  <c r="C200" i="4"/>
  <c r="C201" i="4"/>
  <c r="E201" i="4" s="1"/>
  <c r="C202" i="4"/>
  <c r="C203" i="4"/>
  <c r="C204" i="4"/>
  <c r="C205" i="4"/>
  <c r="E205" i="4" s="1"/>
  <c r="C206" i="4"/>
  <c r="C207" i="4"/>
  <c r="C208" i="4"/>
  <c r="C209" i="4"/>
  <c r="E209" i="4" s="1"/>
  <c r="C210" i="4"/>
  <c r="C211" i="4"/>
  <c r="C212" i="4"/>
  <c r="C213" i="4"/>
  <c r="E213" i="4" s="1"/>
  <c r="C214" i="4"/>
  <c r="C215" i="4"/>
  <c r="C216" i="4"/>
  <c r="C217" i="4"/>
  <c r="E217" i="4" s="1"/>
  <c r="C218" i="4"/>
  <c r="C219" i="4"/>
  <c r="C220" i="4"/>
  <c r="C221" i="4"/>
  <c r="E221" i="4" s="1"/>
  <c r="C222" i="4"/>
  <c r="C223" i="4"/>
  <c r="C224" i="4"/>
  <c r="C225" i="4"/>
  <c r="E225" i="4" s="1"/>
  <c r="C226" i="4"/>
  <c r="C227" i="4"/>
  <c r="C228" i="4"/>
  <c r="C229" i="4"/>
  <c r="E229" i="4" s="1"/>
  <c r="C230" i="4"/>
  <c r="C231" i="4"/>
  <c r="C232" i="4"/>
  <c r="C233" i="4"/>
  <c r="E233" i="4" s="1"/>
  <c r="C234" i="4"/>
  <c r="C235" i="4"/>
  <c r="C236" i="4"/>
  <c r="C237" i="4"/>
  <c r="E237" i="4" s="1"/>
  <c r="C238" i="4"/>
  <c r="C239" i="4"/>
  <c r="C240" i="4"/>
  <c r="C241" i="4"/>
  <c r="E241" i="4" s="1"/>
  <c r="C242" i="4"/>
  <c r="C243" i="4"/>
  <c r="C244" i="4"/>
  <c r="C245" i="4"/>
  <c r="E245" i="4" s="1"/>
  <c r="C246" i="4"/>
  <c r="C247" i="4"/>
  <c r="C248" i="4"/>
  <c r="C249" i="4"/>
  <c r="E249" i="4" s="1"/>
  <c r="C250" i="4"/>
  <c r="C2" i="4"/>
  <c r="E66" i="4" l="1"/>
  <c r="E239" i="4"/>
  <c r="E235" i="4"/>
  <c r="E223" i="4"/>
  <c r="E215" i="4"/>
  <c r="E211" i="4"/>
  <c r="E203" i="4"/>
  <c r="E187" i="4"/>
  <c r="E179" i="4"/>
  <c r="E171" i="4"/>
  <c r="E159" i="4"/>
  <c r="E155" i="4"/>
  <c r="E143" i="4"/>
  <c r="E139" i="4"/>
  <c r="E131" i="4"/>
  <c r="E123" i="4"/>
  <c r="E115" i="4"/>
  <c r="E95" i="4"/>
  <c r="E87" i="4"/>
  <c r="E83" i="4"/>
  <c r="E75" i="4"/>
  <c r="E67" i="4"/>
  <c r="E51" i="4"/>
  <c r="E43" i="4"/>
  <c r="E27" i="4"/>
  <c r="E23" i="4"/>
  <c r="E19" i="4"/>
  <c r="E2" i="4"/>
  <c r="E247" i="4"/>
  <c r="E243" i="4"/>
  <c r="E231" i="4"/>
  <c r="E227" i="4"/>
  <c r="E219" i="4"/>
  <c r="E207" i="4"/>
  <c r="E199" i="4"/>
  <c r="E195" i="4"/>
  <c r="E191" i="4"/>
  <c r="E183" i="4"/>
  <c r="E175" i="4"/>
  <c r="E167" i="4"/>
  <c r="E163" i="4"/>
  <c r="E151" i="4"/>
  <c r="E147" i="4"/>
  <c r="E135" i="4"/>
  <c r="E127" i="4"/>
  <c r="E119" i="4"/>
  <c r="E111" i="4"/>
  <c r="E107" i="4"/>
  <c r="E103" i="4"/>
  <c r="E99" i="4"/>
  <c r="E91" i="4"/>
  <c r="E79" i="4"/>
  <c r="E71" i="4"/>
  <c r="E63" i="4"/>
  <c r="E59" i="4"/>
  <c r="E55" i="4"/>
  <c r="E47" i="4"/>
  <c r="E39" i="4"/>
  <c r="E35" i="4"/>
  <c r="E31" i="4"/>
  <c r="E6" i="4"/>
  <c r="E250" i="4"/>
  <c r="E246" i="4"/>
  <c r="E242" i="4"/>
  <c r="E238" i="4"/>
  <c r="E234" i="4"/>
  <c r="E230" i="4"/>
  <c r="E226" i="4"/>
  <c r="E222" i="4"/>
  <c r="E218" i="4"/>
  <c r="E214" i="4"/>
  <c r="E210" i="4"/>
  <c r="E206" i="4"/>
  <c r="E202" i="4"/>
  <c r="E198" i="4"/>
  <c r="E194" i="4"/>
  <c r="E190" i="4"/>
  <c r="E186" i="4"/>
  <c r="E182" i="4"/>
  <c r="E178" i="4"/>
  <c r="E174" i="4"/>
  <c r="E170" i="4"/>
  <c r="E166" i="4"/>
  <c r="E162" i="4"/>
  <c r="E158" i="4"/>
  <c r="E154" i="4"/>
  <c r="E150" i="4"/>
  <c r="E146" i="4"/>
  <c r="E142" i="4"/>
  <c r="E138" i="4"/>
  <c r="E134" i="4"/>
  <c r="E130" i="4"/>
  <c r="E126" i="4"/>
  <c r="E122" i="4"/>
  <c r="E118" i="4"/>
  <c r="E114" i="4"/>
  <c r="E110" i="4"/>
  <c r="E106" i="4"/>
  <c r="E102" i="4"/>
  <c r="E98" i="4"/>
  <c r="E94" i="4"/>
  <c r="E90" i="4"/>
  <c r="E86" i="4"/>
  <c r="E82" i="4"/>
  <c r="E78" i="4"/>
  <c r="E74" i="4"/>
  <c r="E70" i="4"/>
  <c r="E62" i="4"/>
  <c r="E58" i="4"/>
  <c r="E54" i="4"/>
  <c r="E50" i="4"/>
  <c r="E46" i="4"/>
  <c r="E42" i="4"/>
  <c r="E38" i="4"/>
  <c r="E34" i="4"/>
  <c r="E30" i="4"/>
  <c r="E26" i="4"/>
  <c r="E22" i="4"/>
  <c r="E18" i="4"/>
  <c r="E244" i="4"/>
  <c r="E232" i="4"/>
  <c r="E228" i="4"/>
  <c r="E224" i="4"/>
  <c r="E220" i="4"/>
  <c r="E216" i="4"/>
  <c r="E212" i="4"/>
  <c r="E208" i="4"/>
  <c r="E204" i="4"/>
  <c r="E200" i="4"/>
  <c r="E196" i="4"/>
  <c r="E192" i="4"/>
  <c r="E188" i="4"/>
  <c r="E184" i="4"/>
  <c r="E180" i="4"/>
  <c r="E176" i="4"/>
  <c r="E172" i="4"/>
  <c r="E168" i="4"/>
  <c r="E164" i="4"/>
  <c r="E160" i="4"/>
  <c r="E156" i="4"/>
  <c r="E152" i="4"/>
  <c r="E148" i="4"/>
  <c r="E144" i="4"/>
  <c r="E140" i="4"/>
  <c r="E136" i="4"/>
  <c r="E132" i="4"/>
  <c r="E128" i="4"/>
  <c r="E124" i="4"/>
  <c r="E120" i="4"/>
  <c r="E116" i="4"/>
  <c r="E112" i="4"/>
  <c r="E108" i="4"/>
  <c r="E104" i="4"/>
  <c r="E100" i="4"/>
  <c r="E96" i="4"/>
  <c r="E92" i="4"/>
  <c r="E88" i="4"/>
  <c r="E84" i="4"/>
  <c r="E80" i="4"/>
  <c r="E76" i="4"/>
  <c r="E72" i="4"/>
  <c r="E68" i="4"/>
  <c r="E64" i="4"/>
  <c r="E60" i="4"/>
  <c r="E56" i="4"/>
  <c r="E52" i="4"/>
  <c r="E48" i="4"/>
  <c r="E44" i="4"/>
  <c r="E40" i="4"/>
  <c r="E36" i="4"/>
  <c r="E32" i="4"/>
  <c r="E28" i="4"/>
  <c r="E24" i="4"/>
  <c r="E20" i="4"/>
  <c r="E16" i="4"/>
  <c r="E248" i="4"/>
  <c r="E240" i="4"/>
  <c r="E236" i="4"/>
  <c r="E8" i="4"/>
  <c r="E4" i="4"/>
  <c r="E10" i="4"/>
  <c r="F12" i="4"/>
  <c r="F15" i="4"/>
  <c r="F11" i="4"/>
  <c r="F2" i="4"/>
  <c r="F247" i="4"/>
  <c r="F243" i="4"/>
  <c r="F239" i="4"/>
  <c r="F235" i="4"/>
  <c r="F231" i="4"/>
  <c r="F227" i="4"/>
  <c r="F223" i="4"/>
  <c r="F219" i="4"/>
  <c r="F215" i="4"/>
  <c r="F211" i="4"/>
  <c r="F207" i="4"/>
  <c r="F203" i="4"/>
  <c r="F199" i="4"/>
  <c r="F195" i="4"/>
  <c r="F191" i="4"/>
  <c r="F187" i="4"/>
  <c r="F183" i="4"/>
  <c r="F179" i="4"/>
  <c r="F175" i="4"/>
  <c r="F171" i="4"/>
  <c r="F167" i="4"/>
  <c r="F163" i="4"/>
  <c r="F159" i="4"/>
  <c r="F155" i="4"/>
  <c r="F151" i="4"/>
  <c r="F147" i="4"/>
  <c r="F143" i="4"/>
  <c r="F139" i="4"/>
  <c r="F135" i="4"/>
  <c r="F131" i="4"/>
  <c r="F127" i="4"/>
  <c r="F123" i="4"/>
  <c r="F119" i="4"/>
  <c r="F115" i="4"/>
  <c r="F111" i="4"/>
  <c r="F107" i="4"/>
  <c r="F103" i="4"/>
  <c r="F99" i="4"/>
  <c r="F95" i="4"/>
  <c r="F91" i="4"/>
  <c r="F87" i="4"/>
  <c r="F83" i="4"/>
  <c r="F79" i="4"/>
  <c r="F75" i="4"/>
  <c r="F71" i="4"/>
  <c r="F67" i="4"/>
  <c r="F63" i="4"/>
  <c r="F59" i="4"/>
  <c r="F55" i="4"/>
  <c r="F51" i="4"/>
  <c r="F47" i="4"/>
  <c r="F43" i="4"/>
  <c r="F39" i="4"/>
  <c r="F35" i="4"/>
  <c r="F31" i="4"/>
  <c r="F27" i="4"/>
  <c r="F23" i="4"/>
  <c r="F19" i="4"/>
  <c r="F14" i="4"/>
  <c r="F13" i="4"/>
  <c r="F8" i="4"/>
  <c r="F4" i="4"/>
  <c r="F248" i="4"/>
  <c r="F244" i="4"/>
  <c r="F240" i="4"/>
  <c r="F236" i="4"/>
  <c r="F232" i="4"/>
  <c r="F228" i="4"/>
  <c r="F224" i="4"/>
  <c r="F220" i="4"/>
  <c r="F216" i="4"/>
  <c r="F212" i="4"/>
  <c r="F208" i="4"/>
  <c r="F204" i="4"/>
  <c r="F200" i="4"/>
  <c r="F196" i="4"/>
  <c r="F192" i="4"/>
  <c r="F188" i="4"/>
  <c r="F184" i="4"/>
  <c r="F180" i="4"/>
  <c r="F176" i="4"/>
  <c r="F172" i="4"/>
  <c r="F168" i="4"/>
  <c r="F164" i="4"/>
  <c r="F160" i="4"/>
  <c r="F156" i="4"/>
  <c r="F152" i="4"/>
  <c r="F148" i="4"/>
  <c r="F144" i="4"/>
  <c r="F140" i="4"/>
  <c r="F136" i="4"/>
  <c r="F132" i="4"/>
  <c r="F128" i="4"/>
  <c r="F124" i="4"/>
  <c r="F120" i="4"/>
  <c r="F116" i="4"/>
  <c r="F112" i="4"/>
  <c r="F108" i="4"/>
  <c r="F104" i="4"/>
  <c r="F100" i="4"/>
  <c r="F96" i="4"/>
  <c r="F92" i="4"/>
  <c r="F88" i="4"/>
  <c r="F84" i="4"/>
  <c r="F80" i="4"/>
  <c r="F76" i="4"/>
  <c r="F72" i="4"/>
  <c r="F68" i="4"/>
  <c r="F64" i="4"/>
  <c r="F60" i="4"/>
  <c r="F56" i="4"/>
  <c r="F52" i="4"/>
  <c r="F48" i="4"/>
  <c r="F44" i="4"/>
  <c r="F40" i="4"/>
  <c r="F36" i="4"/>
  <c r="F32" i="4"/>
  <c r="F28" i="4"/>
  <c r="F24" i="4"/>
  <c r="F20" i="4"/>
  <c r="F9" i="4"/>
  <c r="F5" i="4"/>
  <c r="F16" i="4"/>
  <c r="F246" i="4"/>
  <c r="F242" i="4"/>
  <c r="F238" i="4"/>
  <c r="F234" i="4"/>
  <c r="F230" i="4"/>
  <c r="F226" i="4"/>
  <c r="F222" i="4"/>
  <c r="F218" i="4"/>
  <c r="F214" i="4"/>
  <c r="F210" i="4"/>
  <c r="F206" i="4"/>
  <c r="F202" i="4"/>
  <c r="F198" i="4"/>
  <c r="F194" i="4"/>
  <c r="F190" i="4"/>
  <c r="F186" i="4"/>
  <c r="F182" i="4"/>
  <c r="F178" i="4"/>
  <c r="F174" i="4"/>
  <c r="F170" i="4"/>
  <c r="F166" i="4"/>
  <c r="F162" i="4"/>
  <c r="F158" i="4"/>
  <c r="F154" i="4"/>
  <c r="F150" i="4"/>
  <c r="F146" i="4"/>
  <c r="F142" i="4"/>
  <c r="F138" i="4"/>
  <c r="F134" i="4"/>
  <c r="F130" i="4"/>
  <c r="F126" i="4"/>
  <c r="F122" i="4"/>
  <c r="F118" i="4"/>
  <c r="F114" i="4"/>
  <c r="F110" i="4"/>
  <c r="F106" i="4"/>
  <c r="F102" i="4"/>
  <c r="F98" i="4"/>
  <c r="F94" i="4"/>
  <c r="F90" i="4"/>
  <c r="F86" i="4"/>
  <c r="F82" i="4"/>
  <c r="F78" i="4"/>
  <c r="F74" i="4"/>
  <c r="F70" i="4"/>
  <c r="F66" i="4"/>
  <c r="F62" i="4"/>
  <c r="F58" i="4"/>
  <c r="F54" i="4"/>
  <c r="F50" i="4"/>
  <c r="F46" i="4"/>
  <c r="F42" i="4"/>
  <c r="F38" i="4"/>
  <c r="F34" i="4"/>
  <c r="F30" i="4"/>
  <c r="F26" i="4"/>
  <c r="F22" i="4"/>
  <c r="F18" i="4"/>
  <c r="F10" i="4"/>
  <c r="F249" i="4"/>
  <c r="F245" i="4"/>
  <c r="F241" i="4"/>
  <c r="F237" i="4"/>
  <c r="F233" i="4"/>
  <c r="F229" i="4"/>
  <c r="F225" i="4"/>
  <c r="F221" i="4"/>
  <c r="F217" i="4"/>
  <c r="F213" i="4"/>
  <c r="F209" i="4"/>
  <c r="F205" i="4"/>
  <c r="F201" i="4"/>
  <c r="F197" i="4"/>
  <c r="F193" i="4"/>
  <c r="F189" i="4"/>
  <c r="F185" i="4"/>
  <c r="F181" i="4"/>
  <c r="F177" i="4"/>
  <c r="F173" i="4"/>
  <c r="F169" i="4"/>
  <c r="F165" i="4"/>
  <c r="F161" i="4"/>
  <c r="F157" i="4"/>
  <c r="F153" i="4"/>
  <c r="F149" i="4"/>
  <c r="F145" i="4"/>
  <c r="F141" i="4"/>
  <c r="F137" i="4"/>
  <c r="F133" i="4"/>
  <c r="F129" i="4"/>
  <c r="F125" i="4"/>
  <c r="F121" i="4"/>
  <c r="F117" i="4"/>
  <c r="F113" i="4"/>
  <c r="F109" i="4"/>
  <c r="F105" i="4"/>
  <c r="F101" i="4"/>
  <c r="F97" i="4"/>
  <c r="F93" i="4"/>
  <c r="F89" i="4"/>
  <c r="F85" i="4"/>
  <c r="F81" i="4"/>
  <c r="F77" i="4"/>
  <c r="F73" i="4"/>
  <c r="F69" i="4"/>
  <c r="F65" i="4"/>
  <c r="F61" i="4"/>
  <c r="F57" i="4"/>
  <c r="F53" i="4"/>
  <c r="F49" i="4"/>
  <c r="F45" i="4"/>
  <c r="F41" i="4"/>
  <c r="F37" i="4"/>
  <c r="F33" i="4"/>
  <c r="F29" i="4"/>
  <c r="F25" i="4"/>
  <c r="F21" i="4"/>
  <c r="F17" i="4"/>
  <c r="F7" i="4"/>
  <c r="F3" i="4"/>
  <c r="F250" i="4"/>
  <c r="F6" i="4"/>
</calcChain>
</file>

<file path=xl/sharedStrings.xml><?xml version="1.0" encoding="utf-8"?>
<sst xmlns="http://schemas.openxmlformats.org/spreadsheetml/2006/main" count="2617" uniqueCount="1334">
  <si>
    <t>AED</t>
  </si>
  <si>
    <t>AFN</t>
  </si>
  <si>
    <t>ALL</t>
  </si>
  <si>
    <t>AMD</t>
  </si>
  <si>
    <t>ANG</t>
  </si>
  <si>
    <t>AOA</t>
  </si>
  <si>
    <t>ARS</t>
  </si>
  <si>
    <t>AUD</t>
  </si>
  <si>
    <t>AWG</t>
  </si>
  <si>
    <t>AZN</t>
  </si>
  <si>
    <t>BAM</t>
  </si>
  <si>
    <t>BBD</t>
  </si>
  <si>
    <t>BDT</t>
  </si>
  <si>
    <t>BGN</t>
  </si>
  <si>
    <t>BHD</t>
  </si>
  <si>
    <t>BIF</t>
  </si>
  <si>
    <t>BMD</t>
  </si>
  <si>
    <t>BND</t>
  </si>
  <si>
    <t>BOB</t>
  </si>
  <si>
    <t>BOV</t>
  </si>
  <si>
    <t>BRL</t>
  </si>
  <si>
    <t>BSD</t>
  </si>
  <si>
    <t>BTN</t>
  </si>
  <si>
    <t>BWP</t>
  </si>
  <si>
    <t>BYR</t>
  </si>
  <si>
    <t>BZD</t>
  </si>
  <si>
    <t>CAD</t>
  </si>
  <si>
    <t>CDF</t>
  </si>
  <si>
    <t>CHE</t>
  </si>
  <si>
    <t>CHF</t>
  </si>
  <si>
    <t>CHW</t>
  </si>
  <si>
    <t>CLF</t>
  </si>
  <si>
    <t>CLP</t>
  </si>
  <si>
    <t>CNY</t>
  </si>
  <si>
    <t>COP</t>
  </si>
  <si>
    <t>COU</t>
  </si>
  <si>
    <t>CRC</t>
  </si>
  <si>
    <t>CUC</t>
  </si>
  <si>
    <t>CUP</t>
  </si>
  <si>
    <t>CVE</t>
  </si>
  <si>
    <t>CZK</t>
  </si>
  <si>
    <t>DJF</t>
  </si>
  <si>
    <t>DKK</t>
  </si>
  <si>
    <t>DOP</t>
  </si>
  <si>
    <t>DZD</t>
  </si>
  <si>
    <t>EGP</t>
  </si>
  <si>
    <t>ERN</t>
  </si>
  <si>
    <t>ETB</t>
  </si>
  <si>
    <t>EUR</t>
  </si>
  <si>
    <t>FJD</t>
  </si>
  <si>
    <t>FKP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</si>
  <si>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</si>
  <si>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</si>
  <si>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</si>
  <si>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</si>
  <si>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</si>
  <si>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</si>
  <si>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</si>
  <si>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</si>
  <si>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</si>
  <si>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</si>
  <si>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</si>
  <si>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</si>
  <si>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</si>
  <si>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</si>
  <si>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</si>
  <si>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</si>
  <si>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</si>
  <si>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</si>
  <si>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</si>
  <si>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</si>
  <si>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</si>
  <si>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</si>
  <si>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</si>
  <si>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</si>
  <si>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</si>
  <si>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</si>
  <si>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KPW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</si>
  <si>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</si>
  <si>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</si>
  <si>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</si>
  <si>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</si>
  <si>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</si>
  <si>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</si>
  <si>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</si>
  <si>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</si>
  <si>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</si>
  <si>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LTL</t>
  </si>
  <si>
    <t>LVL</t>
  </si>
  <si>
    <t>LYD</t>
  </si>
  <si>
    <t>MAD</t>
  </si>
  <si>
    <t>MDL</t>
  </si>
  <si>
    <t>MGA</t>
  </si>
  <si>
    <t>MKD</t>
  </si>
  <si>
    <t>MMK</t>
  </si>
  <si>
    <t>MNT</t>
  </si>
  <si>
    <t>MOP</t>
  </si>
  <si>
    <t>MRO</t>
  </si>
  <si>
    <t>MUR</t>
  </si>
  <si>
    <t>MVR</t>
  </si>
  <si>
    <t>MWK</t>
  </si>
  <si>
    <t>MXN</t>
  </si>
  <si>
    <t>MXV</t>
  </si>
  <si>
    <t>MYR</t>
  </si>
  <si>
    <t>MZN</t>
  </si>
  <si>
    <t>NAD</t>
  </si>
  <si>
    <t>NGN</t>
  </si>
  <si>
    <t>NIO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</si>
  <si>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</si>
  <si>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</si>
  <si>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</si>
  <si>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</si>
  <si>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</si>
  <si>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</si>
  <si>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</si>
  <si>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</si>
  <si>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</si>
  <si>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</si>
  <si>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</si>
  <si>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</si>
  <si>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</si>
  <si>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</si>
  <si>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</si>
  <si>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</si>
  <si>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</si>
  <si>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</si>
  <si>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</si>
  <si>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</si>
  <si>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</si>
  <si>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</si>
  <si>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</si>
  <si>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</si>
  <si>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</si>
  <si>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</si>
  <si>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</si>
  <si>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STD</t>
  </si>
  <si>
    <t>SVC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</si>
  <si>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</si>
  <si>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</si>
  <si>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</si>
  <si>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</si>
  <si>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</si>
  <si>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</si>
  <si>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</si>
  <si>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</si>
  <si>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</si>
  <si>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</si>
  <si>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</si>
  <si>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</si>
  <si>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</si>
  <si>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USD</t>
  </si>
  <si>
    <t>USN</t>
  </si>
  <si>
    <t>USS</t>
  </si>
  <si>
    <t>UYI</t>
  </si>
  <si>
    <t>UYU</t>
  </si>
  <si>
    <t>UZS</t>
  </si>
  <si>
    <t>VEF</t>
  </si>
  <si>
    <t>VND</t>
  </si>
  <si>
    <t>VUV</t>
  </si>
  <si>
    <t>WST</t>
  </si>
  <si>
    <t>XAF</t>
  </si>
  <si>
    <t>XAG</t>
  </si>
  <si>
    <t>XAU</t>
  </si>
  <si>
    <t>XBA</t>
  </si>
  <si>
    <t>XBB</t>
  </si>
  <si>
    <t>XBC</t>
  </si>
  <si>
    <t>XBD</t>
  </si>
  <si>
    <t>XCD</t>
  </si>
  <si>
    <t>XDR</t>
  </si>
  <si>
    <t>XFU</t>
  </si>
  <si>
    <t>XOF</t>
  </si>
  <si>
    <t>XPD</t>
  </si>
  <si>
    <t>XPF</t>
  </si>
  <si>
    <t>XPT</t>
  </si>
  <si>
    <t>XSU</t>
  </si>
  <si>
    <t>XUA</t>
  </si>
  <si>
    <t>XXX</t>
  </si>
  <si>
    <t>YER</t>
  </si>
  <si>
    <t>ZAR</t>
  </si>
  <si>
    <t>ZMW</t>
  </si>
  <si>
    <t>ZWL</t>
  </si>
  <si>
    <t>AF</t>
  </si>
  <si>
    <t>AFGHANISTAN</t>
  </si>
  <si>
    <t>AX</t>
  </si>
  <si>
    <t>ALAND ISLANDS</t>
  </si>
  <si>
    <t>AL</t>
  </si>
  <si>
    <t>ALBANIA</t>
  </si>
  <si>
    <t>DZ</t>
  </si>
  <si>
    <t>ALGERIA</t>
  </si>
  <si>
    <t>AS</t>
  </si>
  <si>
    <t>AMERICAN SAMOA</t>
  </si>
  <si>
    <t>AD</t>
  </si>
  <si>
    <t>ANDORRA</t>
  </si>
  <si>
    <t>AO</t>
  </si>
  <si>
    <t>ANGOLA</t>
  </si>
  <si>
    <t>AI</t>
  </si>
  <si>
    <t>ANGUILLA</t>
  </si>
  <si>
    <t>AQ</t>
  </si>
  <si>
    <t>ANTARCTICA</t>
  </si>
  <si>
    <t>AG</t>
  </si>
  <si>
    <t>ANTIGUA AND BARBUDA</t>
  </si>
  <si>
    <t>AR</t>
  </si>
  <si>
    <t>ARGENTINA</t>
  </si>
  <si>
    <t>AM</t>
  </si>
  <si>
    <t>ARMENIA</t>
  </si>
  <si>
    <t>AW</t>
  </si>
  <si>
    <t>ARUBA</t>
  </si>
  <si>
    <t>AU</t>
  </si>
  <si>
    <t>AUSTRALIA</t>
  </si>
  <si>
    <t>AT</t>
  </si>
  <si>
    <t>AUSTRIA</t>
  </si>
  <si>
    <t>AZ</t>
  </si>
  <si>
    <t>AZERBAIJAN</t>
  </si>
  <si>
    <t>BS</t>
  </si>
  <si>
    <t>BAHAMAS</t>
  </si>
  <si>
    <t>BH</t>
  </si>
  <si>
    <t>BAHRAIN</t>
  </si>
  <si>
    <t>BD</t>
  </si>
  <si>
    <t>BANGLADESH</t>
  </si>
  <si>
    <t>BB</t>
  </si>
  <si>
    <t>BARBADOS</t>
  </si>
  <si>
    <t>BY</t>
  </si>
  <si>
    <t>BELARUS</t>
  </si>
  <si>
    <t>BE</t>
  </si>
  <si>
    <t>BELGIUM</t>
  </si>
  <si>
    <t>BZ</t>
  </si>
  <si>
    <t>BELIZE</t>
  </si>
  <si>
    <t>BJ</t>
  </si>
  <si>
    <t>BENIN</t>
  </si>
  <si>
    <t>BM</t>
  </si>
  <si>
    <t>BERMUDA</t>
  </si>
  <si>
    <t>BT</t>
  </si>
  <si>
    <t>BHUTAN</t>
  </si>
  <si>
    <t>BO</t>
  </si>
  <si>
    <t>BOLIVIA, PLURINATIONAL STATE OF</t>
  </si>
  <si>
    <t>BQ</t>
  </si>
  <si>
    <t>BONAIRE, SINT EUSTATIUS AND SABA</t>
  </si>
  <si>
    <t>BA</t>
  </si>
  <si>
    <t>BOSNIA AND HERZEGOVINA</t>
  </si>
  <si>
    <t>BW</t>
  </si>
  <si>
    <t>BOTSWANA</t>
  </si>
  <si>
    <t>BV</t>
  </si>
  <si>
    <t>BOUVET ISLAND</t>
  </si>
  <si>
    <t>BR</t>
  </si>
  <si>
    <t>BRAZIL</t>
  </si>
  <si>
    <t>IO</t>
  </si>
  <si>
    <t>BRITISH INDIAN OCEAN TERRITORY</t>
  </si>
  <si>
    <t>BN</t>
  </si>
  <si>
    <t>BRUNEI DARUSSALAM</t>
  </si>
  <si>
    <t>BG</t>
  </si>
  <si>
    <t>BULGARIA</t>
  </si>
  <si>
    <t>BF</t>
  </si>
  <si>
    <t>BURKINA FASO</t>
  </si>
  <si>
    <t>BI</t>
  </si>
  <si>
    <t>BURUNDI</t>
  </si>
  <si>
    <t>KH</t>
  </si>
  <si>
    <t>CAMBODIA</t>
  </si>
  <si>
    <t>CM</t>
  </si>
  <si>
    <t>CAMEROON</t>
  </si>
  <si>
    <t>CA</t>
  </si>
  <si>
    <t>CANADA</t>
  </si>
  <si>
    <t>CV</t>
  </si>
  <si>
    <t>CAPE VERDE</t>
  </si>
  <si>
    <t>KY</t>
  </si>
  <si>
    <t>CAYMAN ISLANDS</t>
  </si>
  <si>
    <t>CF</t>
  </si>
  <si>
    <t>CENTRAL AFRICAN REPUBLIC</t>
  </si>
  <si>
    <t>TD</t>
  </si>
  <si>
    <t>CHAD</t>
  </si>
  <si>
    <t>CL</t>
  </si>
  <si>
    <t>CHILE</t>
  </si>
  <si>
    <t>CN</t>
  </si>
  <si>
    <t>CHINA</t>
  </si>
  <si>
    <t>CX</t>
  </si>
  <si>
    <t>CHRISTMAS ISLAND</t>
  </si>
  <si>
    <t>CC</t>
  </si>
  <si>
    <t>COCOS (KEELING) ISLANDS</t>
  </si>
  <si>
    <t>CO</t>
  </si>
  <si>
    <t>COLOMBIA</t>
  </si>
  <si>
    <t>KM</t>
  </si>
  <si>
    <t>COMOROS</t>
  </si>
  <si>
    <t>CG</t>
  </si>
  <si>
    <t>CONGO</t>
  </si>
  <si>
    <t>CD</t>
  </si>
  <si>
    <t>CONGO, THE DEMOCRATIC REPUBLIC OF THE</t>
  </si>
  <si>
    <t>CK</t>
  </si>
  <si>
    <t>COOK ISLANDS</t>
  </si>
  <si>
    <t>CR</t>
  </si>
  <si>
    <t>COSTA RICA</t>
  </si>
  <si>
    <t>CI</t>
  </si>
  <si>
    <t>COTE D'IVOIRE</t>
  </si>
  <si>
    <t>HR</t>
  </si>
  <si>
    <t>CROATIA</t>
  </si>
  <si>
    <t>CU</t>
  </si>
  <si>
    <t>CUBA</t>
  </si>
  <si>
    <t>CW</t>
  </si>
  <si>
    <t>CURACAO</t>
  </si>
  <si>
    <t>CY</t>
  </si>
  <si>
    <t>CYPRUS</t>
  </si>
  <si>
    <t>CZ</t>
  </si>
  <si>
    <t>CZECH REPUBLIC</t>
  </si>
  <si>
    <t>DK</t>
  </si>
  <si>
    <t>DENMARK</t>
  </si>
  <si>
    <t>DJ</t>
  </si>
  <si>
    <t>DJIBOUTI</t>
  </si>
  <si>
    <t>DM</t>
  </si>
  <si>
    <t>DOMINICA</t>
  </si>
  <si>
    <t>DO</t>
  </si>
  <si>
    <t>DOMINICAN REPUBLIC</t>
  </si>
  <si>
    <t>EC</t>
  </si>
  <si>
    <t>ECUADOR</t>
  </si>
  <si>
    <t>EG</t>
  </si>
  <si>
    <t>EGYPT</t>
  </si>
  <si>
    <t>SV</t>
  </si>
  <si>
    <t>EL SALVADOR</t>
  </si>
  <si>
    <t>GQ</t>
  </si>
  <si>
    <t>EQUATORIAL GUINEA</t>
  </si>
  <si>
    <t>ER</t>
  </si>
  <si>
    <t>ERITREA</t>
  </si>
  <si>
    <t>EE</t>
  </si>
  <si>
    <t>ESTONIA</t>
  </si>
  <si>
    <t>ET</t>
  </si>
  <si>
    <t>ETHIOPIA</t>
  </si>
  <si>
    <t>FK</t>
  </si>
  <si>
    <t>FALKLAND ISLANDS (MALVINAS)</t>
  </si>
  <si>
    <t>FO</t>
  </si>
  <si>
    <t>FAROE ISLANDS</t>
  </si>
  <si>
    <t>FJ</t>
  </si>
  <si>
    <t>FIJI</t>
  </si>
  <si>
    <t>FI</t>
  </si>
  <si>
    <t>FINLAND</t>
  </si>
  <si>
    <t>FR</t>
  </si>
  <si>
    <t>FRANCE</t>
  </si>
  <si>
    <t>GF</t>
  </si>
  <si>
    <t>FRENCH GUIANA</t>
  </si>
  <si>
    <t>PF</t>
  </si>
  <si>
    <t>FRENCH POLYNESIA</t>
  </si>
  <si>
    <t>TF</t>
  </si>
  <si>
    <t>FRENCH SOUTHERN TERRITORIES</t>
  </si>
  <si>
    <t>GA</t>
  </si>
  <si>
    <t>GABON</t>
  </si>
  <si>
    <t>GM</t>
  </si>
  <si>
    <t>GAMBIA</t>
  </si>
  <si>
    <t>GE</t>
  </si>
  <si>
    <t>GEORGIA</t>
  </si>
  <si>
    <t>DE</t>
  </si>
  <si>
    <t>GERMANY</t>
  </si>
  <si>
    <t>GH</t>
  </si>
  <si>
    <t>GHANA</t>
  </si>
  <si>
    <t>GI</t>
  </si>
  <si>
    <t>GIBRALTAR</t>
  </si>
  <si>
    <t>GR</t>
  </si>
  <si>
    <t>GREECE</t>
  </si>
  <si>
    <t>GL</t>
  </si>
  <si>
    <t>GREENLAND</t>
  </si>
  <si>
    <t>GD</t>
  </si>
  <si>
    <t>GRENADA</t>
  </si>
  <si>
    <t>GP</t>
  </si>
  <si>
    <t>GUADELOUPE</t>
  </si>
  <si>
    <t>GU</t>
  </si>
  <si>
    <t>GUAM</t>
  </si>
  <si>
    <t>GT</t>
  </si>
  <si>
    <t>GUATEMALA</t>
  </si>
  <si>
    <t>GG</t>
  </si>
  <si>
    <t>GUERNSEY</t>
  </si>
  <si>
    <t>GN</t>
  </si>
  <si>
    <t>GUINEA</t>
  </si>
  <si>
    <t>GW</t>
  </si>
  <si>
    <t>GUINEA-BISSAU</t>
  </si>
  <si>
    <t>GY</t>
  </si>
  <si>
    <t>GUYANA</t>
  </si>
  <si>
    <t>HT</t>
  </si>
  <si>
    <t>HAITI</t>
  </si>
  <si>
    <t>HM</t>
  </si>
  <si>
    <t>HEARD ISLAND AND MCDONALD ISLANDS</t>
  </si>
  <si>
    <t>VA</t>
  </si>
  <si>
    <t>HOLY SEE (VATICAN CITY STATE)</t>
  </si>
  <si>
    <t>HN</t>
  </si>
  <si>
    <t>HONDURAS</t>
  </si>
  <si>
    <t>HK</t>
  </si>
  <si>
    <t>HONG KONG</t>
  </si>
  <si>
    <t>HU</t>
  </si>
  <si>
    <t>HUNGARY</t>
  </si>
  <si>
    <t>IS</t>
  </si>
  <si>
    <t>ICELAND</t>
  </si>
  <si>
    <t>IN</t>
  </si>
  <si>
    <t>INDIA</t>
  </si>
  <si>
    <t>ID</t>
  </si>
  <si>
    <t>INDONESIA</t>
  </si>
  <si>
    <t>IR</t>
  </si>
  <si>
    <t>IRAN, ISLAMIC REPUBLIC OF</t>
  </si>
  <si>
    <t>IQ</t>
  </si>
  <si>
    <t>IRAQ</t>
  </si>
  <si>
    <t>IE</t>
  </si>
  <si>
    <t>IRELAND</t>
  </si>
  <si>
    <t>IM</t>
  </si>
  <si>
    <t>ISLE OF MAN</t>
  </si>
  <si>
    <t>IL</t>
  </si>
  <si>
    <t>ISRAEL</t>
  </si>
  <si>
    <t>IT</t>
  </si>
  <si>
    <t>ITALY</t>
  </si>
  <si>
    <t>JM</t>
  </si>
  <si>
    <t>JAMAICA</t>
  </si>
  <si>
    <t>JP</t>
  </si>
  <si>
    <t>JAPAN</t>
  </si>
  <si>
    <t>JE</t>
  </si>
  <si>
    <t>JERSEY</t>
  </si>
  <si>
    <t>JO</t>
  </si>
  <si>
    <t>JORDAN</t>
  </si>
  <si>
    <t>KZ</t>
  </si>
  <si>
    <t>KAZAKHSTAN</t>
  </si>
  <si>
    <t>KE</t>
  </si>
  <si>
    <t>KENYA</t>
  </si>
  <si>
    <t>KI</t>
  </si>
  <si>
    <t>KIRIBATI</t>
  </si>
  <si>
    <t>KP</t>
  </si>
  <si>
    <t>KOREA, DEMOCRATIC PEOPLE'S REPUBLIC OF</t>
  </si>
  <si>
    <t>KR</t>
  </si>
  <si>
    <t>KOREA, REPUBLIC OF</t>
  </si>
  <si>
    <t>KW</t>
  </si>
  <si>
    <t>KUWAIT</t>
  </si>
  <si>
    <t>KG</t>
  </si>
  <si>
    <t>KYRGYZSTAN</t>
  </si>
  <si>
    <t>LA</t>
  </si>
  <si>
    <t>LAO PEOPLE'S DEMOCRATIC REPUBLIC</t>
  </si>
  <si>
    <t>LV</t>
  </si>
  <si>
    <t>LATVIA</t>
  </si>
  <si>
    <t>LB</t>
  </si>
  <si>
    <t>LEBANON</t>
  </si>
  <si>
    <t>LS</t>
  </si>
  <si>
    <t>LESOTHO</t>
  </si>
  <si>
    <t>LR</t>
  </si>
  <si>
    <t>LIBERIA</t>
  </si>
  <si>
    <t>LY</t>
  </si>
  <si>
    <t>LIBYA</t>
  </si>
  <si>
    <t>LI</t>
  </si>
  <si>
    <t>LIECHTENSTEIN</t>
  </si>
  <si>
    <t>LT</t>
  </si>
  <si>
    <t>LITHUANIA</t>
  </si>
  <si>
    <t>LU</t>
  </si>
  <si>
    <t>LUXEMBOURG</t>
  </si>
  <si>
    <t>MO</t>
  </si>
  <si>
    <t>MACAO</t>
  </si>
  <si>
    <t>MK</t>
  </si>
  <si>
    <t>MACEDONIA, THE FORMER YUGOSLAV REPUBLIC OF</t>
  </si>
  <si>
    <t>MG</t>
  </si>
  <si>
    <t>MADAGASCAR</t>
  </si>
  <si>
    <t>MW</t>
  </si>
  <si>
    <t>MALAWI</t>
  </si>
  <si>
    <t>MY</t>
  </si>
  <si>
    <t>MALAYSIA</t>
  </si>
  <si>
    <t>MV</t>
  </si>
  <si>
    <t>MALDIVES</t>
  </si>
  <si>
    <t>ML</t>
  </si>
  <si>
    <t>MALI</t>
  </si>
  <si>
    <t>MT</t>
  </si>
  <si>
    <t>MALTA</t>
  </si>
  <si>
    <t>MH</t>
  </si>
  <si>
    <t>MARSHALL ISLANDS</t>
  </si>
  <si>
    <t>MQ</t>
  </si>
  <si>
    <t>MARTINIQUE</t>
  </si>
  <si>
    <t>MR</t>
  </si>
  <si>
    <t>MAURITANIA</t>
  </si>
  <si>
    <t>MU</t>
  </si>
  <si>
    <t>MAURITIUS</t>
  </si>
  <si>
    <t>YT</t>
  </si>
  <si>
    <t>MAYOTTE</t>
  </si>
  <si>
    <t>MX</t>
  </si>
  <si>
    <t>MEXICO</t>
  </si>
  <si>
    <t>FM</t>
  </si>
  <si>
    <t>MICRONESIA, FEDERATED STATES OF</t>
  </si>
  <si>
    <t>MD</t>
  </si>
  <si>
    <t>MOLDOVA, REPUBLIC OF</t>
  </si>
  <si>
    <t>MC</t>
  </si>
  <si>
    <t>MONACO</t>
  </si>
  <si>
    <t>MN</t>
  </si>
  <si>
    <t>MONGOLIA</t>
  </si>
  <si>
    <t>ME</t>
  </si>
  <si>
    <t>MONTENEGRO</t>
  </si>
  <si>
    <t>MS</t>
  </si>
  <si>
    <t>MONTSERRAT</t>
  </si>
  <si>
    <t>MA</t>
  </si>
  <si>
    <t>MOROCCO</t>
  </si>
  <si>
    <t>MZ</t>
  </si>
  <si>
    <t>MOZAMBIQUE</t>
  </si>
  <si>
    <t>MM</t>
  </si>
  <si>
    <t>MYANMAR</t>
  </si>
  <si>
    <t>NA</t>
  </si>
  <si>
    <t>NAMIBIA</t>
  </si>
  <si>
    <t>NR</t>
  </si>
  <si>
    <t>NAURU</t>
  </si>
  <si>
    <t>NP</t>
  </si>
  <si>
    <t>NEPAL</t>
  </si>
  <si>
    <t>NL</t>
  </si>
  <si>
    <t>NETHERLANDS</t>
  </si>
  <si>
    <t>NC</t>
  </si>
  <si>
    <t>NEW CALEDONIA</t>
  </si>
  <si>
    <t>NZ</t>
  </si>
  <si>
    <t>NEW ZEALAND</t>
  </si>
  <si>
    <t>NI</t>
  </si>
  <si>
    <t>NICARAGUA</t>
  </si>
  <si>
    <t>NE</t>
  </si>
  <si>
    <t>NIGER</t>
  </si>
  <si>
    <t>NG</t>
  </si>
  <si>
    <t>NIGERIA</t>
  </si>
  <si>
    <t>NU</t>
  </si>
  <si>
    <t>NIUE</t>
  </si>
  <si>
    <t>NF</t>
  </si>
  <si>
    <t>NORFOLK ISLAND</t>
  </si>
  <si>
    <t>MP</t>
  </si>
  <si>
    <t>NORTHERN MARIANA ISLANDS</t>
  </si>
  <si>
    <t>NO</t>
  </si>
  <si>
    <t>NORWAY</t>
  </si>
  <si>
    <t>OM</t>
  </si>
  <si>
    <t>OMAN</t>
  </si>
  <si>
    <t>PK</t>
  </si>
  <si>
    <t>PAKISTAN</t>
  </si>
  <si>
    <t>PW</t>
  </si>
  <si>
    <t>PALAU</t>
  </si>
  <si>
    <t>PS</t>
  </si>
  <si>
    <t>PALESTINE, STATE OF</t>
  </si>
  <si>
    <t>PA</t>
  </si>
  <si>
    <t>PANAMA</t>
  </si>
  <si>
    <t>PG</t>
  </si>
  <si>
    <t>PAPUA NEW GUINEA</t>
  </si>
  <si>
    <t>PY</t>
  </si>
  <si>
    <t>PARAGUAY</t>
  </si>
  <si>
    <t>PE</t>
  </si>
  <si>
    <t>PERU</t>
  </si>
  <si>
    <t>PH</t>
  </si>
  <si>
    <t>PHILIPPINES</t>
  </si>
  <si>
    <t>PN</t>
  </si>
  <si>
    <t>PITCAIRN</t>
  </si>
  <si>
    <t>PL</t>
  </si>
  <si>
    <t>POLAND</t>
  </si>
  <si>
    <t>PT</t>
  </si>
  <si>
    <t>PORTUGAL</t>
  </si>
  <si>
    <t>PR</t>
  </si>
  <si>
    <t>PUERTO RICO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</si>
  <si>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</si>
  <si>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</si>
  <si>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</si>
  <si>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</si>
  <si>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</si>
  <si>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</si>
  <si>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</si>
  <si>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</si>
  <si>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</si>
  <si>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</si>
  <si>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BL</t>
  </si>
  <si>
    <t>SAINT BARTHELEMY</t>
  </si>
  <si>
    <t>SH</t>
  </si>
  <si>
    <t>SAINT HELENA, ASCENSION AND TRISTAN DA CUNHA</t>
  </si>
  <si>
    <t>KN</t>
  </si>
  <si>
    <t>SAINT KITTS AND NEVIS</t>
  </si>
  <si>
    <t>LC</t>
  </si>
  <si>
    <t>SAINT LUCIA</t>
  </si>
  <si>
    <t>MF</t>
  </si>
  <si>
    <t>SAINT MARTIN (FRENCH PART)</t>
  </si>
  <si>
    <t>PM</t>
  </si>
  <si>
    <t>SAINT PIERRE AND MIQUELON</t>
  </si>
  <si>
    <t>VC</t>
  </si>
  <si>
    <t>SAINT VINCENT AND THE GRENADINES</t>
  </si>
  <si>
    <t>WS</t>
  </si>
  <si>
    <t>SAMOA</t>
  </si>
  <si>
    <t>SM</t>
  </si>
  <si>
    <t>SAN MARINO</t>
  </si>
  <si>
    <t>ST</t>
  </si>
  <si>
    <t>SAO TOME AND PRINCIPE</t>
  </si>
  <si>
    <t>SA</t>
  </si>
  <si>
    <t>SAUDI ARABIA</t>
  </si>
  <si>
    <t>SN</t>
  </si>
  <si>
    <t>SENEGAL</t>
  </si>
  <si>
    <t>RS</t>
  </si>
  <si>
    <t>SERBIA</t>
  </si>
  <si>
    <t>SC</t>
  </si>
  <si>
    <t>SEYCHELLES</t>
  </si>
  <si>
    <t>SL</t>
  </si>
  <si>
    <t>SIERRA LEONE</t>
  </si>
  <si>
    <t>SG</t>
  </si>
  <si>
    <t>SINGAPORE</t>
  </si>
  <si>
    <t>SX</t>
  </si>
  <si>
    <t>SINT MAARTEN (DUTCH PART)</t>
  </si>
  <si>
    <t>SK</t>
  </si>
  <si>
    <t>SLOVAKIA</t>
  </si>
  <si>
    <t>SI</t>
  </si>
  <si>
    <t>SLOVENIA</t>
  </si>
  <si>
    <t>SB</t>
  </si>
  <si>
    <t>SOLOMON ISLANDS</t>
  </si>
  <si>
    <t>SO</t>
  </si>
  <si>
    <t>SOMALIA</t>
  </si>
  <si>
    <t>ZA</t>
  </si>
  <si>
    <t>SOUTH AFRICA</t>
  </si>
  <si>
    <t>GS</t>
  </si>
  <si>
    <t>SOUTH GEORGIA AND THE SOUTH SANDWICH ISLANDS</t>
  </si>
  <si>
    <t>SS</t>
  </si>
  <si>
    <t>SOUTH SUDAN</t>
  </si>
  <si>
    <t>ES</t>
  </si>
  <si>
    <t>SPAIN</t>
  </si>
  <si>
    <t>LK</t>
  </si>
  <si>
    <t>SRI LANKA</t>
  </si>
  <si>
    <t>SD</t>
  </si>
  <si>
    <t>SUDAN</t>
  </si>
  <si>
    <t>SR</t>
  </si>
  <si>
    <t>SURINAME</t>
  </si>
  <si>
    <t>SJ</t>
  </si>
  <si>
    <t>SVALBARD AND JAN MAYEN</t>
  </si>
  <si>
    <t>SZ</t>
  </si>
  <si>
    <t>SWAZILAND</t>
  </si>
  <si>
    <t>SE</t>
  </si>
  <si>
    <t>SWEDEN</t>
  </si>
  <si>
    <t>CH</t>
  </si>
  <si>
    <t>SWITZERLAND</t>
  </si>
  <si>
    <t>SY</t>
  </si>
  <si>
    <t>SYRIAN ARAB REPUBLIC</t>
  </si>
  <si>
    <t>TW</t>
  </si>
  <si>
    <t>TAIWAN, PROVINCE OF CHINA</t>
  </si>
  <si>
    <t>TJ</t>
  </si>
  <si>
    <t>TAJIKISTAN</t>
  </si>
  <si>
    <t>TZ</t>
  </si>
  <si>
    <t>TANZANIA, UNITED REPUBLIC OF</t>
  </si>
  <si>
    <t>TH</t>
  </si>
  <si>
    <t>THAILAND</t>
  </si>
  <si>
    <t>TL</t>
  </si>
  <si>
    <t>TIMOR-LESTE</t>
  </si>
  <si>
    <t>TG</t>
  </si>
  <si>
    <t>TOGO</t>
  </si>
  <si>
    <t>TK</t>
  </si>
  <si>
    <t>TOKELAU</t>
  </si>
  <si>
    <t>TO</t>
  </si>
  <si>
    <t>TONGA</t>
  </si>
  <si>
    <t>TT</t>
  </si>
  <si>
    <t>TRINIDAD AND TOBAGO</t>
  </si>
  <si>
    <t>TN</t>
  </si>
  <si>
    <t>TUNISIA</t>
  </si>
  <si>
    <t>TR</t>
  </si>
  <si>
    <t>TURKEY</t>
  </si>
  <si>
    <t>TM</t>
  </si>
  <si>
    <t>TURKMENISTAN</t>
  </si>
  <si>
    <t>TC</t>
  </si>
  <si>
    <t>TURKS AND CAICOS ISLANDS</t>
  </si>
  <si>
    <t>TV</t>
  </si>
  <si>
    <t>TUVALU</t>
  </si>
  <si>
    <t>UG</t>
  </si>
  <si>
    <t>UGANDA</t>
  </si>
  <si>
    <t>UA</t>
  </si>
  <si>
    <t>UKRAINE</t>
  </si>
  <si>
    <t>AE</t>
  </si>
  <si>
    <t>UNITED ARAB EMIRATES</t>
  </si>
  <si>
    <t>GB</t>
  </si>
  <si>
    <t>UNITED KINGDOM</t>
  </si>
  <si>
    <t>US</t>
  </si>
  <si>
    <t>UNITED STATES</t>
  </si>
  <si>
    <t>UM</t>
  </si>
  <si>
    <t>UNITED STATES MINOR OUTLYING ISLANDS</t>
  </si>
  <si>
    <t>UY</t>
  </si>
  <si>
    <t>URUGUAY</t>
  </si>
  <si>
    <t>UZ</t>
  </si>
  <si>
    <t>UZBEKISTAN</t>
  </si>
  <si>
    <t>VU</t>
  </si>
  <si>
    <t>VANUATU</t>
  </si>
  <si>
    <t>VE</t>
  </si>
  <si>
    <t>VENEZUELA, BOLIVARIAN REPUBLIC OF</t>
  </si>
  <si>
    <t>VN</t>
  </si>
  <si>
    <t>VIET NAM</t>
  </si>
  <si>
    <t>VG</t>
  </si>
  <si>
    <t>VIRGIN ISLANDS, BRITISH</t>
  </si>
  <si>
    <t>VI</t>
  </si>
  <si>
    <t>VIRGIN ISLANDS, U.S.</t>
  </si>
  <si>
    <t>WF</t>
  </si>
  <si>
    <t>WALLIS AND FUTUNA</t>
  </si>
  <si>
    <t>EH</t>
  </si>
  <si>
    <t>WESTERN SAHARA</t>
  </si>
  <si>
    <t>YE</t>
  </si>
  <si>
    <t>YEMEN</t>
  </si>
  <si>
    <t>ZM</t>
  </si>
  <si>
    <t>ZAMBIA</t>
  </si>
  <si>
    <t>ZW</t>
  </si>
  <si>
    <t>ZIMBABWE</t>
  </si>
  <si>
    <t>Step</t>
  </si>
  <si>
    <t>Description</t>
  </si>
  <si>
    <t>Download the CRS schema of the following OECD links:
http://www.oecd.org/tax/automatic-exchange/common-reporting-standard/schema-and-user-guide/#d.en.345315
or
http://www.oecd.org/tax/automatic-exchange/common-reporting-standard/schema-and-user-guide/CRS-schema-v1.0.zip</t>
  </si>
  <si>
    <t>Extract and open isocrstypes_v1.0.xsd</t>
  </si>
  <si>
    <t>UAE Dirham</t>
  </si>
  <si>
    <t xml:space="preserve"> UNITED ARAB EMIRATES</t>
  </si>
  <si>
    <t>Afghani</t>
  </si>
  <si>
    <t xml:space="preserve"> AFGHANISTAN</t>
  </si>
  <si>
    <t>Lek</t>
  </si>
  <si>
    <t xml:space="preserve"> ALBANIA</t>
  </si>
  <si>
    <t>Armenian Dram</t>
  </si>
  <si>
    <t xml:space="preserve"> ARMENIA</t>
  </si>
  <si>
    <t>Netherlands Antillean Guilder</t>
  </si>
  <si>
    <t xml:space="preserve"> CURACAO; SINT MAARTEN (DUTCH PART)</t>
  </si>
  <si>
    <t>Kwanza</t>
  </si>
  <si>
    <t xml:space="preserve"> ANGOLA</t>
  </si>
  <si>
    <t>Argentine Peso</t>
  </si>
  <si>
    <t xml:space="preserve"> ARGENTINA</t>
  </si>
  <si>
    <t>Australian Dollar</t>
  </si>
  <si>
    <t xml:space="preserve"> AUSTRALIA; CHRISTMAS ISLAND; COCOS (KEELING) ISLANDS; HEARD ISLAND AND McDONALD ISLANDS; KIRIBATI; NAURU; NORFOLK ISLAND; TUVALU</t>
  </si>
  <si>
    <t>Aruban Florin</t>
  </si>
  <si>
    <t xml:space="preserve"> ARUBA</t>
  </si>
  <si>
    <t>Azerbaijanian Manat</t>
  </si>
  <si>
    <t xml:space="preserve"> AZERBAIJAN</t>
  </si>
  <si>
    <t>Convertible Mark</t>
  </si>
  <si>
    <t xml:space="preserve"> BOSNIA AND HERZEGOVINA</t>
  </si>
  <si>
    <t>Barbados Dollar</t>
  </si>
  <si>
    <t xml:space="preserve"> BARBADOS</t>
  </si>
  <si>
    <t>Taka</t>
  </si>
  <si>
    <t xml:space="preserve"> BANGLADESH</t>
  </si>
  <si>
    <t>Bulgarian Lev</t>
  </si>
  <si>
    <t xml:space="preserve"> BULGARIA</t>
  </si>
  <si>
    <t>Bahraini Dinar</t>
  </si>
  <si>
    <t xml:space="preserve"> BAHRAIN</t>
  </si>
  <si>
    <t>Burundi Franc</t>
  </si>
  <si>
    <t xml:space="preserve"> BURUNDI</t>
  </si>
  <si>
    <t>Bermudian Dollar</t>
  </si>
  <si>
    <t xml:space="preserve"> BERMUDA</t>
  </si>
  <si>
    <t>Brunei Dollar</t>
  </si>
  <si>
    <t xml:space="preserve"> BRUNEI DARUSSALAM</t>
  </si>
  <si>
    <t>Boliviano</t>
  </si>
  <si>
    <t xml:space="preserve"> BOLIVIA, PLURINATIONAL STATE OF</t>
  </si>
  <si>
    <t>Mvdol</t>
  </si>
  <si>
    <t>Brazilian Real</t>
  </si>
  <si>
    <t xml:space="preserve"> BRAZIL</t>
  </si>
  <si>
    <t>Bahamian Dollar</t>
  </si>
  <si>
    <t xml:space="preserve"> BAHAMAS</t>
  </si>
  <si>
    <t>Ngultrum</t>
  </si>
  <si>
    <t xml:space="preserve"> BHUTAN</t>
  </si>
  <si>
    <t>Pula</t>
  </si>
  <si>
    <t xml:space="preserve"> BOTSWANA</t>
  </si>
  <si>
    <t>Belarussian Ruble</t>
  </si>
  <si>
    <t xml:space="preserve"> BELARUS</t>
  </si>
  <si>
    <t>Belize Dollar</t>
  </si>
  <si>
    <t xml:space="preserve"> BELIZE</t>
  </si>
  <si>
    <t>Canadian Dollar</t>
  </si>
  <si>
    <t xml:space="preserve"> CANADA</t>
  </si>
  <si>
    <t>Congolese Franc</t>
  </si>
  <si>
    <t xml:space="preserve"> CONGO, THE DEMOCRATIC REPUBLIC OF</t>
  </si>
  <si>
    <t>WIR Euro</t>
  </si>
  <si>
    <t xml:space="preserve"> SWITZERLAND</t>
  </si>
  <si>
    <t>Swiss Franc</t>
  </si>
  <si>
    <t xml:space="preserve"> LIECHTENSTEIN; SWITZERLAND</t>
  </si>
  <si>
    <t>WIR Franc</t>
  </si>
  <si>
    <t>Unidades de fomento</t>
  </si>
  <si>
    <t xml:space="preserve"> CHILE</t>
  </si>
  <si>
    <t>Chilean Peso</t>
  </si>
  <si>
    <t>Yuan Renminbi</t>
  </si>
  <si>
    <t xml:space="preserve"> CHINA</t>
  </si>
  <si>
    <t>Colombian Peso</t>
  </si>
  <si>
    <t xml:space="preserve"> COLOMBIA</t>
  </si>
  <si>
    <t>Unidad de Valor Real</t>
  </si>
  <si>
    <t>Costa Rican Colon</t>
  </si>
  <si>
    <t xml:space="preserve"> COSTA RICA</t>
  </si>
  <si>
    <t>Peso Convertible</t>
  </si>
  <si>
    <t xml:space="preserve"> CUBA</t>
  </si>
  <si>
    <t>Cuban Peso</t>
  </si>
  <si>
    <t>Cape Verde Escudo</t>
  </si>
  <si>
    <t xml:space="preserve"> CAPE VERDE</t>
  </si>
  <si>
    <t>Czech Koruna</t>
  </si>
  <si>
    <t xml:space="preserve"> CZECH REPUBLIC</t>
  </si>
  <si>
    <t>Djibouti Franc</t>
  </si>
  <si>
    <t xml:space="preserve"> DJIBOUTI</t>
  </si>
  <si>
    <t>Danish Krone</t>
  </si>
  <si>
    <t xml:space="preserve"> DENMARK; FAROE ISLANDS; GREENLAND</t>
  </si>
  <si>
    <t>Dominican Peso</t>
  </si>
  <si>
    <t xml:space="preserve"> DOMINICAN REPUBLIC</t>
  </si>
  <si>
    <t>Algerian Dinar</t>
  </si>
  <si>
    <t xml:space="preserve"> ALGERIA</t>
  </si>
  <si>
    <t>Egyptian Pound</t>
  </si>
  <si>
    <t xml:space="preserve"> EGYPT</t>
  </si>
  <si>
    <t>Nakfa</t>
  </si>
  <si>
    <t xml:space="preserve"> ERITREA</t>
  </si>
  <si>
    <t>Ethiopian Birr</t>
  </si>
  <si>
    <t xml:space="preserve"> ETHIOPIA</t>
  </si>
  <si>
    <t>Euro</t>
  </si>
  <si>
    <t>Fiji Dollar</t>
  </si>
  <si>
    <t xml:space="preserve"> FIJI</t>
  </si>
  <si>
    <t>Falkland Islands Pound</t>
  </si>
  <si>
    <t xml:space="preserve"> FALKLAND ISLANDS (MALVINAS)</t>
  </si>
  <si>
    <t>Pound Sterling</t>
  </si>
  <si>
    <t xml:space="preserve"> GUERNSEY; ISLE OF MAN; JERSEY; UNITED KINGDOM</t>
  </si>
  <si>
    <t>Lari</t>
  </si>
  <si>
    <t xml:space="preserve"> GEORGIA</t>
  </si>
  <si>
    <t>Ghana Cedi</t>
  </si>
  <si>
    <t xml:space="preserve"> GHANA</t>
  </si>
  <si>
    <t>Gibraltar Pound</t>
  </si>
  <si>
    <t xml:space="preserve"> GIBRALTAR</t>
  </si>
  <si>
    <t>Dalasi</t>
  </si>
  <si>
    <t xml:space="preserve"> GAMBIA</t>
  </si>
  <si>
    <t>Guinea Franc</t>
  </si>
  <si>
    <t xml:space="preserve"> GUINEA</t>
  </si>
  <si>
    <t>Quetzal</t>
  </si>
  <si>
    <t xml:space="preserve"> GUATEMALA</t>
  </si>
  <si>
    <t>Guyana Dollar</t>
  </si>
  <si>
    <t xml:space="preserve"> GUYANA</t>
  </si>
  <si>
    <t>Hong Kong Dollar</t>
  </si>
  <si>
    <t xml:space="preserve"> HONG KONG</t>
  </si>
  <si>
    <t>Lempira</t>
  </si>
  <si>
    <t xml:space="preserve"> HONDURAS</t>
  </si>
  <si>
    <t>Croatian Kuna</t>
  </si>
  <si>
    <t xml:space="preserve"> CROATIA</t>
  </si>
  <si>
    <t>Gourde</t>
  </si>
  <si>
    <t xml:space="preserve"> HAITI</t>
  </si>
  <si>
    <t>Forint</t>
  </si>
  <si>
    <t xml:space="preserve"> HUNGARY</t>
  </si>
  <si>
    <t>Rupiah</t>
  </si>
  <si>
    <t xml:space="preserve"> INDONESIA</t>
  </si>
  <si>
    <t>New Israeli Sheqel</t>
  </si>
  <si>
    <t xml:space="preserve"> ISRAEL</t>
  </si>
  <si>
    <t>Indian Rupee</t>
  </si>
  <si>
    <t xml:space="preserve"> BHUTAN; INDIA</t>
  </si>
  <si>
    <t>Iraqi Dinar</t>
  </si>
  <si>
    <t xml:space="preserve"> IRAQ</t>
  </si>
  <si>
    <t>Iranian Rial</t>
  </si>
  <si>
    <t xml:space="preserve"> IRAN, ISLAMIC REPUBLIC OF</t>
  </si>
  <si>
    <t>Iceland Krona</t>
  </si>
  <si>
    <t xml:space="preserve"> ICELAND</t>
  </si>
  <si>
    <t>Jamaican Dollar</t>
  </si>
  <si>
    <t xml:space="preserve"> JAMAICA</t>
  </si>
  <si>
    <t>Jordanian Dinar</t>
  </si>
  <si>
    <t xml:space="preserve"> JORDAN</t>
  </si>
  <si>
    <t>Yen</t>
  </si>
  <si>
    <t xml:space="preserve"> JAPAN</t>
  </si>
  <si>
    <t>Kenyan Shilling</t>
  </si>
  <si>
    <t xml:space="preserve"> KENYA</t>
  </si>
  <si>
    <t>Som</t>
  </si>
  <si>
    <t xml:space="preserve"> KYRGYZSTAN</t>
  </si>
  <si>
    <t>Riel</t>
  </si>
  <si>
    <t xml:space="preserve"> CAMBODIA</t>
  </si>
  <si>
    <t>Comoro Franc</t>
  </si>
  <si>
    <t xml:space="preserve"> COMOROS</t>
  </si>
  <si>
    <t>North Korean Won</t>
  </si>
  <si>
    <t xml:space="preserve"> KOREA, DEMOCRATIC PEOPLE’S REPUBLIC OF</t>
  </si>
  <si>
    <t>Won</t>
  </si>
  <si>
    <t xml:space="preserve"> KOREA, REPUBLIC OF</t>
  </si>
  <si>
    <t>Kuwaiti Dinar</t>
  </si>
  <si>
    <t xml:space="preserve"> KUWAIT</t>
  </si>
  <si>
    <t>Cayman Islands Dollar</t>
  </si>
  <si>
    <t xml:space="preserve"> CAYMAN ISLANDS</t>
  </si>
  <si>
    <t>Tenge</t>
  </si>
  <si>
    <t xml:space="preserve"> KAZAKHSTAN</t>
  </si>
  <si>
    <t>Kip</t>
  </si>
  <si>
    <t xml:space="preserve"> LAO PEOPLE’S DEMOCRATIC REPUBLIC</t>
  </si>
  <si>
    <t>Lebanese Pound</t>
  </si>
  <si>
    <t xml:space="preserve"> LEBANON</t>
  </si>
  <si>
    <t>Sri Lanka Rupee</t>
  </si>
  <si>
    <t xml:space="preserve"> SRI LANKA</t>
  </si>
  <si>
    <t>Liberian Dollar</t>
  </si>
  <si>
    <t xml:space="preserve"> LIBERIA</t>
  </si>
  <si>
    <t>Loti</t>
  </si>
  <si>
    <t xml:space="preserve"> LESOTHO</t>
  </si>
  <si>
    <t>Lithuanian Litas</t>
  </si>
  <si>
    <t xml:space="preserve"> LITHUANIA</t>
  </si>
  <si>
    <t>Latvian Lats</t>
  </si>
  <si>
    <t xml:space="preserve"> LATVIA</t>
  </si>
  <si>
    <t>Libyan Dinar</t>
  </si>
  <si>
    <t xml:space="preserve"> LIBYA</t>
  </si>
  <si>
    <t>Moroccan Dirham</t>
  </si>
  <si>
    <t xml:space="preserve"> MOROCCO; WESTERN SAHARA</t>
  </si>
  <si>
    <t>Moldovan Leu</t>
  </si>
  <si>
    <t xml:space="preserve"> MOLDOVA, REPUBLIC OF</t>
  </si>
  <si>
    <t>Malagasy Ariary</t>
  </si>
  <si>
    <t xml:space="preserve"> MADAGASCAR</t>
  </si>
  <si>
    <t>Denar</t>
  </si>
  <si>
    <t xml:space="preserve"> MACEDONIA, THE FORMER YUGOSLAV REPUBLIC OF</t>
  </si>
  <si>
    <t>Kyat</t>
  </si>
  <si>
    <t xml:space="preserve"> MYANMAR</t>
  </si>
  <si>
    <t>Tugrik</t>
  </si>
  <si>
    <t xml:space="preserve"> MONGOLIA</t>
  </si>
  <si>
    <t>Pataca</t>
  </si>
  <si>
    <t xml:space="preserve"> MACAO</t>
  </si>
  <si>
    <t>Ouguiya</t>
  </si>
  <si>
    <t xml:space="preserve"> MAURITANIA</t>
  </si>
  <si>
    <t>Mauritius Rupee</t>
  </si>
  <si>
    <t xml:space="preserve"> MAURITIUS</t>
  </si>
  <si>
    <t>Rufiyaa</t>
  </si>
  <si>
    <t xml:space="preserve"> MALDIVES</t>
  </si>
  <si>
    <t>Kwacha</t>
  </si>
  <si>
    <t xml:space="preserve"> MALAWI</t>
  </si>
  <si>
    <t>Mexican Peso</t>
  </si>
  <si>
    <t xml:space="preserve"> MEXICO</t>
  </si>
  <si>
    <t>Mexican Unidad de Inversion (UDI)</t>
  </si>
  <si>
    <t>Malaysian Ringgit</t>
  </si>
  <si>
    <t xml:space="preserve"> MALAYSIA</t>
  </si>
  <si>
    <t>Mozambique Metical</t>
  </si>
  <si>
    <t xml:space="preserve"> MOZAMBIQUE</t>
  </si>
  <si>
    <t>Namibia Dollar</t>
  </si>
  <si>
    <t xml:space="preserve"> NAMIBIA</t>
  </si>
  <si>
    <t>Naira</t>
  </si>
  <si>
    <t xml:space="preserve"> NIGERIA</t>
  </si>
  <si>
    <t>Cordoba Oro</t>
  </si>
  <si>
    <t xml:space="preserve"> NICARAGUA</t>
  </si>
  <si>
    <t>Norwegian Krone</t>
  </si>
  <si>
    <t xml:space="preserve"> BOUVET ISLAND; NORWAY; SVALBARD AND JAN MAYEN</t>
  </si>
  <si>
    <t>Nepalese Rupee</t>
  </si>
  <si>
    <t xml:space="preserve"> NEPAL</t>
  </si>
  <si>
    <t>New Zealand Dollar</t>
  </si>
  <si>
    <t xml:space="preserve"> COOK ISLANDS; NEW ZEALAND; NIUE; PITCAIRN; TOKELAU</t>
  </si>
  <si>
    <t>Rial Omani</t>
  </si>
  <si>
    <t xml:space="preserve"> OMAN</t>
  </si>
  <si>
    <t>Balboa</t>
  </si>
  <si>
    <t xml:space="preserve"> PANAMA</t>
  </si>
  <si>
    <t>Nuevo Sol</t>
  </si>
  <si>
    <t xml:space="preserve"> PERU</t>
  </si>
  <si>
    <t>Kina</t>
  </si>
  <si>
    <t xml:space="preserve"> PAPUA NEW GUINEA</t>
  </si>
  <si>
    <t>Philippine Peso</t>
  </si>
  <si>
    <t xml:space="preserve"> PHILIPPINES</t>
  </si>
  <si>
    <t>Pakistan Rupee</t>
  </si>
  <si>
    <t xml:space="preserve"> PAKISTAN</t>
  </si>
  <si>
    <t>Zloty</t>
  </si>
  <si>
    <t xml:space="preserve"> POLAND</t>
  </si>
  <si>
    <t>Guarani</t>
  </si>
  <si>
    <t xml:space="preserve"> PARAGUAY</t>
  </si>
  <si>
    <t>Qatari Rial</t>
  </si>
  <si>
    <t xml:space="preserve"> QATAR</t>
  </si>
  <si>
    <t>New Romanian Leu</t>
  </si>
  <si>
    <t xml:space="preserve"> ROMANIA</t>
  </si>
  <si>
    <t>Serbian Dinar</t>
  </si>
  <si>
    <t xml:space="preserve"> SERBIA</t>
  </si>
  <si>
    <t>Russian Ruble</t>
  </si>
  <si>
    <t xml:space="preserve"> RUSSIAN FEDERATION</t>
  </si>
  <si>
    <t>Rwanda Franc</t>
  </si>
  <si>
    <t xml:space="preserve"> RWANDA</t>
  </si>
  <si>
    <t>Saudi Riyal</t>
  </si>
  <si>
    <t xml:space="preserve"> SAUDI ARABIA</t>
  </si>
  <si>
    <t>Solomon Islands Dollar</t>
  </si>
  <si>
    <t xml:space="preserve"> SOLOMON ISLANDS</t>
  </si>
  <si>
    <t>Seychelles Rupee</t>
  </si>
  <si>
    <t xml:space="preserve"> SEYCHELLES</t>
  </si>
  <si>
    <t>Sudanese Pound</t>
  </si>
  <si>
    <t xml:space="preserve"> SUDAN</t>
  </si>
  <si>
    <t>Swedish Krona</t>
  </si>
  <si>
    <t xml:space="preserve"> SWEDEN</t>
  </si>
  <si>
    <t>Singapore Dollar</t>
  </si>
  <si>
    <t xml:space="preserve"> SINGAPORE</t>
  </si>
  <si>
    <t>Saint Helena Pound</t>
  </si>
  <si>
    <t xml:space="preserve"> SAINT HELENA, ASCENSION AND TRISTAN DA CUNHA</t>
  </si>
  <si>
    <t>Leone</t>
  </si>
  <si>
    <t xml:space="preserve"> SIERRA LEONE</t>
  </si>
  <si>
    <t>Somali Shilling</t>
  </si>
  <si>
    <t xml:space="preserve"> SOMALIA</t>
  </si>
  <si>
    <t>Surinam Dollar</t>
  </si>
  <si>
    <t xml:space="preserve"> SURINAME</t>
  </si>
  <si>
    <t>South Sudanese Pound</t>
  </si>
  <si>
    <t xml:space="preserve"> SOUTH SUDAN</t>
  </si>
  <si>
    <t>Dobra</t>
  </si>
  <si>
    <t xml:space="preserve"> SAO TOME AND PRINCIPE</t>
  </si>
  <si>
    <t>El Salvador Colon</t>
  </si>
  <si>
    <t xml:space="preserve"> EL SALVADOR</t>
  </si>
  <si>
    <t>Syrian Pound</t>
  </si>
  <si>
    <t xml:space="preserve"> SYRIAN ARAB REPUBLIC</t>
  </si>
  <si>
    <t>Lilangeni</t>
  </si>
  <si>
    <t xml:space="preserve"> SWAZILAND</t>
  </si>
  <si>
    <t>Baht</t>
  </si>
  <si>
    <t xml:space="preserve"> THAILAND</t>
  </si>
  <si>
    <t>Somoni</t>
  </si>
  <si>
    <t xml:space="preserve"> TAJIKISTAN</t>
  </si>
  <si>
    <t>Turkmenistan New Manat</t>
  </si>
  <si>
    <t xml:space="preserve"> TURKMENISTAN</t>
  </si>
  <si>
    <t>Tunisian Dinar</t>
  </si>
  <si>
    <t xml:space="preserve"> TUNISIA</t>
  </si>
  <si>
    <t>Pa’anga</t>
  </si>
  <si>
    <t xml:space="preserve"> TONGA</t>
  </si>
  <si>
    <t>Turkish Lira</t>
  </si>
  <si>
    <t xml:space="preserve"> TURKEY</t>
  </si>
  <si>
    <t>Trinidad and Tobago Dollar</t>
  </si>
  <si>
    <t xml:space="preserve"> TRINIDAD AND TOBAGO</t>
  </si>
  <si>
    <t>New Taiwan Dollar</t>
  </si>
  <si>
    <t xml:space="preserve"> TAIWAN, PROVINCE OF CHINA</t>
  </si>
  <si>
    <t>Tanzanian Shilling</t>
  </si>
  <si>
    <t xml:space="preserve"> TANZANIA, UNITED REPUBLIC OF</t>
  </si>
  <si>
    <t>Hryvnia</t>
  </si>
  <si>
    <t xml:space="preserve"> UKRAINE</t>
  </si>
  <si>
    <t>Uganda Shilling</t>
  </si>
  <si>
    <t xml:space="preserve"> UGANDA</t>
  </si>
  <si>
    <t>US Dollar</t>
  </si>
  <si>
    <t>US Dollar (Next day)</t>
  </si>
  <si>
    <t xml:space="preserve"> UNITED STATES</t>
  </si>
  <si>
    <t>US Dollar (Same day)</t>
  </si>
  <si>
    <t>Uruguay Peso en Unidades Indexadas (URUIURUI)</t>
  </si>
  <si>
    <t xml:space="preserve"> URUGUAY</t>
  </si>
  <si>
    <t>Peso Uruguayo</t>
  </si>
  <si>
    <t>Uzbekistan Sum</t>
  </si>
  <si>
    <t xml:space="preserve"> UZBEKISTAN</t>
  </si>
  <si>
    <t>Bolivar</t>
  </si>
  <si>
    <t xml:space="preserve"> VENEZUELA, BOLIVARIAN REPUBLIC OF</t>
  </si>
  <si>
    <t>Dong</t>
  </si>
  <si>
    <t xml:space="preserve"> VIET NAM</t>
  </si>
  <si>
    <t>Vatu</t>
  </si>
  <si>
    <t xml:space="preserve"> VANUATU</t>
  </si>
  <si>
    <t>Tala</t>
  </si>
  <si>
    <t xml:space="preserve"> SAMOA</t>
  </si>
  <si>
    <t>CFA Franc BEAC</t>
  </si>
  <si>
    <t xml:space="preserve"> CAMEROON; CENTRAL AFRICAN REPUBLIC; CHAD; CONGO; EQUATORIAL GUINEA; GABON</t>
  </si>
  <si>
    <t>Silver</t>
  </si>
  <si>
    <t xml:space="preserve"> ZZ11_Silver</t>
  </si>
  <si>
    <t>Gold</t>
  </si>
  <si>
    <t xml:space="preserve"> ZZ08_Gold</t>
  </si>
  <si>
    <t>Bond Markets Unit European Composite Unit (EURCO)</t>
  </si>
  <si>
    <t xml:space="preserve">  ZZ01_Bond Markets Unit European_EURCO</t>
  </si>
  <si>
    <t>Bond Markets Unit European Monetary Unit (E.M.U.-6)</t>
  </si>
  <si>
    <t xml:space="preserve"> ZZ02_Bond Markets Unit European_EMU-6</t>
  </si>
  <si>
    <t>Bond Markets Unit European Unit of Account 9 (E.U.A.-9)</t>
  </si>
  <si>
    <t xml:space="preserve"> ZZ03_Bond Markets Unit European_EUA-9</t>
  </si>
  <si>
    <t>Bond Markets Unit European Unit of Account 17 (E.U.A.-17)</t>
  </si>
  <si>
    <t xml:space="preserve"> ZZ04_Bond Markets Unit European_EUA-17</t>
  </si>
  <si>
    <t>East Caribbean Dollar</t>
  </si>
  <si>
    <t xml:space="preserve"> ANGUILLA; ANTIGUA AND BARBUDA; DOMINICA; GRENADA; MONTSERRAT; SAINT KITTS AND NEVIS; SAINT LUCIA; SAINT VINCENT AND THE GRENADINES</t>
  </si>
  <si>
    <t>SDR (Special Drawing Right)</t>
  </si>
  <si>
    <t xml:space="preserve"> INTERNATIONAL MONETARY FUND (IMF)</t>
  </si>
  <si>
    <t>UIC-Franc</t>
  </si>
  <si>
    <t xml:space="preserve"> ZZ05_UIC-Franc</t>
  </si>
  <si>
    <t>CFA Franc BCEAO</t>
  </si>
  <si>
    <t xml:space="preserve"> BENIN; BURKINA FASO; COTE D'IVOIRE; GUINEA-BISSAU; MALI; NIGER; SENEGAL; TOGO</t>
  </si>
  <si>
    <t>Palladium</t>
  </si>
  <si>
    <t xml:space="preserve"> ZZ09_Palladium</t>
  </si>
  <si>
    <t>CFP Franc</t>
  </si>
  <si>
    <t xml:space="preserve"> FRENCH POLYNESIA; NEW CALEDONIA; WALLIS AND FUTUNA</t>
  </si>
  <si>
    <t>Platinum</t>
  </si>
  <si>
    <t xml:space="preserve"> ZZ10_Platinum</t>
  </si>
  <si>
    <t>Sucre</t>
  </si>
  <si>
    <t xml:space="preserve"> SISTEMA UNITARIO DE COMPENSACION REGIONAL DE PAGOS "SUCRE"</t>
  </si>
  <si>
    <t>ADB Unit of Account</t>
  </si>
  <si>
    <t xml:space="preserve"> MEMBER COUNTRIES OF THE AFRICAN DEVELOPMENT BANK GROUP</t>
  </si>
  <si>
    <t>The codes assigned for transactions where no currency is involved</t>
  </si>
  <si>
    <t xml:space="preserve"> ZZ07_No_Currency</t>
  </si>
  <si>
    <t>Yemeni Rial</t>
  </si>
  <si>
    <t xml:space="preserve"> YEMEN</t>
  </si>
  <si>
    <t>Rand</t>
  </si>
  <si>
    <t xml:space="preserve"> LESOTHO; NAMIBIA; SOUTH AFRICA</t>
  </si>
  <si>
    <t>Zambian Kwacha</t>
  </si>
  <si>
    <t xml:space="preserve"> ZAMBIA</t>
  </si>
  <si>
    <t>Zimbabwe Dollar</t>
  </si>
  <si>
    <t xml:space="preserve"> ZIMBABWE</t>
  </si>
  <si>
    <t>ISO_COUNTRY</t>
  </si>
  <si>
    <t>COUNTRY_NAME</t>
  </si>
  <si>
    <t>ISO_CURRY</t>
  </si>
  <si>
    <t>CURRY_NAME</t>
  </si>
  <si>
    <t xml:space="preserve"> ALAND ISLANDS; ANDORRA; AUSTRIA; BELGIUM; CYPRUS; ESTONIA; EUROPEAN UNION; FINLAND; FRANCE; FRENCH GUIANA; FRENCH SOUTHERN TERRITORIES</t>
  </si>
  <si>
    <t>GERMANY; GREECE; GUADELOUPE; HOLY SEE (VATICAN CITY STATE); IRELAND; ITALY; LUXEMBOURG; MALTA; MARTINIQUE; MAYOTTE; MONACO; MONTENEGRO; NETHERLANDS; PORTUGAL; REUNION</t>
  </si>
  <si>
    <t>SAINT BARTHELEMY; SAINT MARTIN (FRENCH PART); SAINT PIERRE AND MIQUELON; SAN MARINO; SLOVAKIA; SLOVENIA; SPAIN; Vatican City State (HOLY SEE)</t>
  </si>
  <si>
    <t xml:space="preserve"> AMERICAN SAMOA; BONAIRE; SINT EUSTATIUS AND SABA; BRITISH INDIAN OCEAN TERRITORY; ECUADOR; EL SALVADOR; GUAM; HAITI; MARSHALL ISLANDS; MICRONESIA, FEDERATED STATES OF;</t>
  </si>
  <si>
    <t>NORTHERN MARIANA ISLANDS; PALAU; PANAMA; PUERTO RICO; TIMOR-LESTE; TURKS AND CAICOS ISLANDS, UNITED STATES; UNITED STATES MINOR OUTLYING ISLANDS; VIRGIN ISLANDS (BRITISH); VIRGIN ISLANDS (US)</t>
  </si>
  <si>
    <t>CREATE TABLE oecd_currencies (
iso_country VARCHAR(30) NOT NULL,
country_name VARCHAR(200) NOT NULL,
iso_curry VARCHAR(30) NOT NULL,
curry_name VARCHAR(100) NOT NULL
);</t>
  </si>
  <si>
    <t>CREATE TABLE oecd_currencies (
iso_country_id VARCHAR(30) NOT NULL,
iso_country VARCHAR(30) NOT NULL,
country_name VARCHAR(200) NOT NULL,
iso_curry_id VARCHAR(30) NOT NULL,
iso_curry VARCHAR(30) NOT NULL,
curry_name VARCHAR(100) NOT NULL
);</t>
  </si>
  <si>
    <t>select K.OBJ_ID as country_id, K.KEY_VAL as COUNTRY_ISO, N.NAME from obj_key k, (select n.obj_id, n.lang_id, n.name from obj_name n where lang_id = -1 and date_valid_to = to_date('31.12.4712', 'DD.MM.YYYY' )) n
    where 
        k.obj_key_id = 41
    and
        k.obj_id in (
            select m.country_req_id  from  (select obj_id as country_req_id from obj_key where obj_key_id = 41 and key_val in</t>
  </si>
  <si>
    <t>Currency</t>
  </si>
  <si>
    <t xml:space="preserve"> and    
      N.OBJ_ID = K.OBJ_ID)
    order by K.KEY_VAL asc;</t>
  </si>
  <si>
    <t>Run the script and check the result.</t>
  </si>
  <si>
    <t>Copy-Paste the generated script (in Tab 'OECD Table' column F) into the SQL Developer and check the script for special sings in the text values. Then run the script.</t>
  </si>
  <si>
    <t>Enter the Currency you want to check into the yellow field (in Tab 'Currency Check Script') and copy the generated Script in column B into the SQL Developer.</t>
  </si>
  <si>
    <t>Differentiate between CountryCode_Type and currCode_Type in column 'name'. Copy-paste the columns 'value' and 'ns1:documentation2' in those 2 different tabs.</t>
  </si>
  <si>
    <t>Separate the Currency name from the several countries and place them behind those countries in currCode_Type (this allows to make a VLOOKUP). Please split cells with over 256 signs, otherwise the VLOOKUP won't work. Check the countries, where still no currency is found (and solve if possible).</t>
  </si>
  <si>
    <t>Database</t>
  </si>
  <si>
    <t>User</t>
  </si>
  <si>
    <t>Password</t>
  </si>
  <si>
    <t>Oracle Home</t>
  </si>
  <si>
    <t>k</t>
  </si>
  <si>
    <t>OraClient12Home1</t>
  </si>
  <si>
    <t>WAW136</t>
  </si>
  <si>
    <t>download link:</t>
  </si>
  <si>
    <t>https://www.oecd.org/tax/automatic-exchange/common-reporting-standard/schema-and-user-guide/CRS-schema-v1.0.zip</t>
  </si>
  <si>
    <t>download folder</t>
  </si>
  <si>
    <t>file_name</t>
  </si>
  <si>
    <t>helloworld</t>
  </si>
  <si>
    <t>C:\Users\alain.studer\Desktop\</t>
  </si>
  <si>
    <t>OBJ_ID</t>
  </si>
  <si>
    <t>OBJ_KEY_ID</t>
  </si>
  <si>
    <t>KEY_VAL</t>
  </si>
  <si>
    <t>AN</t>
  </si>
  <si>
    <t>NAME_LONG</t>
  </si>
  <si>
    <t>Bulgaria</t>
  </si>
  <si>
    <t>Burundi</t>
  </si>
  <si>
    <t>Czech Republic</t>
  </si>
  <si>
    <t>Dominican Republic</t>
  </si>
  <si>
    <t>Germany</t>
  </si>
  <si>
    <t>Italy</t>
  </si>
  <si>
    <t>Luxembourg</t>
  </si>
  <si>
    <t>Guinea</t>
  </si>
  <si>
    <t>Croatia</t>
  </si>
  <si>
    <t>India</t>
  </si>
  <si>
    <t>Sri Lanka</t>
  </si>
  <si>
    <t>Liberia</t>
  </si>
  <si>
    <t>Poland</t>
  </si>
  <si>
    <t>Saudi Arabia</t>
  </si>
  <si>
    <t>Ukraine</t>
  </si>
  <si>
    <t>Aruba</t>
  </si>
  <si>
    <t>Algeria</t>
  </si>
  <si>
    <t>Finland</t>
  </si>
  <si>
    <t>Spain</t>
  </si>
  <si>
    <t>Slovenia</t>
  </si>
  <si>
    <t>Fiji</t>
  </si>
  <si>
    <t>Isle of Man</t>
  </si>
  <si>
    <t>Guatemala</t>
  </si>
  <si>
    <t>Israel</t>
  </si>
  <si>
    <t>Iceland</t>
  </si>
  <si>
    <t>Korea, Republic of</t>
  </si>
  <si>
    <t>Kuwait</t>
  </si>
  <si>
    <t>Lebanon</t>
  </si>
  <si>
    <t>Lithuania</t>
  </si>
  <si>
    <t>Macedonia, the former Yugoslav Republic of</t>
  </si>
  <si>
    <t>Mauritania</t>
  </si>
  <si>
    <t>Maldives</t>
  </si>
  <si>
    <t>Nicaragua</t>
  </si>
  <si>
    <t>Seychelles</t>
  </si>
  <si>
    <t>Syrian Arab Republic</t>
  </si>
  <si>
    <t>Albania</t>
  </si>
  <si>
    <t>Botswana</t>
  </si>
  <si>
    <t>Cape Verde</t>
  </si>
  <si>
    <t>Greece</t>
  </si>
  <si>
    <t>Gibraltar</t>
  </si>
  <si>
    <t>Mauritius</t>
  </si>
  <si>
    <t>Malaysia</t>
  </si>
  <si>
    <t>Norway</t>
  </si>
  <si>
    <t>Oman</t>
  </si>
  <si>
    <t>Peru</t>
  </si>
  <si>
    <t>Russian Federation</t>
  </si>
  <si>
    <t>Rwanda</t>
  </si>
  <si>
    <t>Somalia</t>
  </si>
  <si>
    <t>Taiwan, Province of China</t>
  </si>
  <si>
    <t>United States Minor Outlying Islands</t>
  </si>
  <si>
    <t>Uzbekistan</t>
  </si>
  <si>
    <t>Samoa</t>
  </si>
  <si>
    <t>Yemen</t>
  </si>
  <si>
    <t>Turkmenistan</t>
  </si>
  <si>
    <t>Zimbabwe</t>
  </si>
  <si>
    <t>Netherlands Antilles</t>
  </si>
  <si>
    <t>Bahrain</t>
  </si>
  <si>
    <t>Brazil</t>
  </si>
  <si>
    <t>Belize</t>
  </si>
  <si>
    <t>Egypt</t>
  </si>
  <si>
    <t>Austria</t>
  </si>
  <si>
    <t>Ireland</t>
  </si>
  <si>
    <t>Kyrgyzstan</t>
  </si>
  <si>
    <t>Cambodia</t>
  </si>
  <si>
    <t>Kazakhstan</t>
  </si>
  <si>
    <t>Libyan Arab Jamahiriya</t>
  </si>
  <si>
    <t>Philippines</t>
  </si>
  <si>
    <t>Thailand</t>
  </si>
  <si>
    <t>Tajikistan</t>
  </si>
  <si>
    <t>Uruguay</t>
  </si>
  <si>
    <t>Vanuatu</t>
  </si>
  <si>
    <t>United Arab Emirates</t>
  </si>
  <si>
    <t>Brunei Darussalam</t>
  </si>
  <si>
    <t>China</t>
  </si>
  <si>
    <t>Portugal</t>
  </si>
  <si>
    <t>Honduras</t>
  </si>
  <si>
    <t>Jamaica</t>
  </si>
  <si>
    <t>Kenya</t>
  </si>
  <si>
    <t>Morocco</t>
  </si>
  <si>
    <t>Papua New Guinea</t>
  </si>
  <si>
    <t>Pakistan</t>
  </si>
  <si>
    <t>Qatar</t>
  </si>
  <si>
    <t>Singapore</t>
  </si>
  <si>
    <t>Trinidad and Tobago</t>
  </si>
  <si>
    <t>Tanzania, United Republic of</t>
  </si>
  <si>
    <t>United States</t>
  </si>
  <si>
    <t>Argentina</t>
  </si>
  <si>
    <t>Australia</t>
  </si>
  <si>
    <t>Bangladesh</t>
  </si>
  <si>
    <t>Chile</t>
  </si>
  <si>
    <t>Costa Rica</t>
  </si>
  <si>
    <t>Denmark</t>
  </si>
  <si>
    <t>Ethiopia</t>
  </si>
  <si>
    <t>Belgium</t>
  </si>
  <si>
    <t>Jersey</t>
  </si>
  <si>
    <t>Georgia</t>
  </si>
  <si>
    <t>Gambia</t>
  </si>
  <si>
    <t>Guyana</t>
  </si>
  <si>
    <t>Hong Kong</t>
  </si>
  <si>
    <t>Hungary</t>
  </si>
  <si>
    <t>Iran, Islamic Republic of</t>
  </si>
  <si>
    <t>Cayman Islands</t>
  </si>
  <si>
    <t>Moldova, Republic of</t>
  </si>
  <si>
    <t>Mongolia</t>
  </si>
  <si>
    <t>Macao</t>
  </si>
  <si>
    <t>Malawi</t>
  </si>
  <si>
    <t>Nepal</t>
  </si>
  <si>
    <t>Sao Tome and Principe</t>
  </si>
  <si>
    <t>Swaziland</t>
  </si>
  <si>
    <t>Tonga</t>
  </si>
  <si>
    <t>Liechtenstein</t>
  </si>
  <si>
    <t>Switzerland</t>
  </si>
  <si>
    <t>Armenia</t>
  </si>
  <si>
    <t>Bosnia and Herzegovina</t>
  </si>
  <si>
    <t>Bahamas</t>
  </si>
  <si>
    <t>Belarus</t>
  </si>
  <si>
    <t>Canada</t>
  </si>
  <si>
    <t>Eritrea</t>
  </si>
  <si>
    <t>France</t>
  </si>
  <si>
    <t>Netherlands</t>
  </si>
  <si>
    <t>United Kingdom</t>
  </si>
  <si>
    <t>Guernsey</t>
  </si>
  <si>
    <t>Iraq</t>
  </si>
  <si>
    <t>Japan</t>
  </si>
  <si>
    <t>Comoros</t>
  </si>
  <si>
    <t>Myanmar</t>
  </si>
  <si>
    <t>Nigeria</t>
  </si>
  <si>
    <t>New Zealand</t>
  </si>
  <si>
    <t>Paraguay</t>
  </si>
  <si>
    <t>Solomon Islands</t>
  </si>
  <si>
    <t>Uganda</t>
  </si>
  <si>
    <t>Viet Nam</t>
  </si>
  <si>
    <t>Romania</t>
  </si>
  <si>
    <t>Barbados</t>
  </si>
  <si>
    <t>Bermuda</t>
  </si>
  <si>
    <t>Cuba</t>
  </si>
  <si>
    <t>Djibouti</t>
  </si>
  <si>
    <t>Falkland Islands (Malvinas)</t>
  </si>
  <si>
    <t>Indonesia</t>
  </si>
  <si>
    <t>Jordan</t>
  </si>
  <si>
    <t>Latvia</t>
  </si>
  <si>
    <t>Sweden</t>
  </si>
  <si>
    <t>Saint Helena</t>
  </si>
  <si>
    <t>Sierra Leone</t>
  </si>
  <si>
    <t>Tunisia</t>
  </si>
  <si>
    <t>French Polynesia</t>
  </si>
  <si>
    <t>South Africa</t>
  </si>
  <si>
    <t>Turkey</t>
  </si>
  <si>
    <t>ASSET_ID</t>
  </si>
  <si>
    <t>OBJ_SUB_TYPE_ID</t>
  </si>
  <si>
    <t>ASSET_REF_ID</t>
  </si>
  <si>
    <t>UNIT</t>
  </si>
  <si>
    <t>USER_ID</t>
  </si>
  <si>
    <t>NAME</t>
  </si>
  <si>
    <t>ORDER_BY</t>
  </si>
  <si>
    <t>DECIMAL_PLACES</t>
  </si>
  <si>
    <t>DECIMAL_PLACES_USE</t>
  </si>
  <si>
    <t>FMT</t>
  </si>
  <si>
    <t>HCFX_FACT</t>
  </si>
  <si>
    <t>FRF</t>
  </si>
  <si>
    <t>French Franc</t>
  </si>
  <si>
    <t>Y</t>
  </si>
  <si>
    <t>999G999G999G999G990D00</t>
  </si>
  <si>
    <t>GHC</t>
  </si>
  <si>
    <t>Ghanaian Cedi</t>
  </si>
  <si>
    <t>GRD</t>
  </si>
  <si>
    <t>Greek Drachme</t>
  </si>
  <si>
    <t>Haitian Gourde</t>
  </si>
  <si>
    <t>IEP</t>
  </si>
  <si>
    <t>Irish Pound</t>
  </si>
  <si>
    <t>ITL</t>
  </si>
  <si>
    <t>Italian Lira</t>
  </si>
  <si>
    <t>999G999G999G999G990</t>
  </si>
  <si>
    <t>ECS</t>
  </si>
  <si>
    <t>Ecuador Sucre</t>
  </si>
  <si>
    <t>ZWD</t>
  </si>
  <si>
    <t>Cuban Peso Convertible</t>
  </si>
  <si>
    <t>MZM</t>
  </si>
  <si>
    <t>PTE</t>
  </si>
  <si>
    <t>Portuguese Escudo</t>
  </si>
  <si>
    <t>SDD</t>
  </si>
  <si>
    <t>Sudanese Dinar</t>
  </si>
  <si>
    <t>SKK</t>
  </si>
  <si>
    <t>Slovak Koruna</t>
  </si>
  <si>
    <t>YUM</t>
  </si>
  <si>
    <t>Yugoslavian Dinar</t>
  </si>
  <si>
    <t>MTL</t>
  </si>
  <si>
    <t>Maltese Lira</t>
  </si>
  <si>
    <t>VEB</t>
  </si>
  <si>
    <t>Venezualan Bolivar</t>
  </si>
  <si>
    <t>ZMK</t>
  </si>
  <si>
    <t>AFA</t>
  </si>
  <si>
    <t>ATS</t>
  </si>
  <si>
    <t>Austrian Schilling</t>
  </si>
  <si>
    <t>BEF</t>
  </si>
  <si>
    <t>Belgian Franc</t>
  </si>
  <si>
    <t>Bhutan Ngultrum</t>
  </si>
  <si>
    <t>Congo Franc</t>
  </si>
  <si>
    <t>EEK</t>
  </si>
  <si>
    <t>Estonian Kroon</t>
  </si>
  <si>
    <t>Panamanian Balboa</t>
  </si>
  <si>
    <t>SRG</t>
  </si>
  <si>
    <t>Suriname Guilder</t>
  </si>
  <si>
    <t>CYP</t>
  </si>
  <si>
    <t>Cyprus Pound</t>
  </si>
  <si>
    <t>DEM</t>
  </si>
  <si>
    <t>German Mark</t>
  </si>
  <si>
    <t>AZM</t>
  </si>
  <si>
    <t>Metallwährung Platin Unzen</t>
  </si>
  <si>
    <t>999G999G999G999G990D000</t>
  </si>
  <si>
    <t>SIGR</t>
  </si>
  <si>
    <t>Metallwährung Silber Gramm</t>
  </si>
  <si>
    <t>KRUE</t>
  </si>
  <si>
    <t>Metallwährung Krügerrand Unze</t>
  </si>
  <si>
    <t>SIT</t>
  </si>
  <si>
    <t>Slovenian Tolar</t>
  </si>
  <si>
    <t>TMM</t>
  </si>
  <si>
    <t>Turkmenistani Manat</t>
  </si>
  <si>
    <t>XAUKLO</t>
  </si>
  <si>
    <t>XAUGRM</t>
  </si>
  <si>
    <t>XAGGRM</t>
  </si>
  <si>
    <t>XAGKLO</t>
  </si>
  <si>
    <t>XPDGRM</t>
  </si>
  <si>
    <t>XPDKLO</t>
  </si>
  <si>
    <t>Metallwährung Paladium Unzen</t>
  </si>
  <si>
    <t>Metallwährung Gold Unzen</t>
  </si>
  <si>
    <t>Metallwährung Silber Unzen</t>
  </si>
  <si>
    <t>NLG</t>
  </si>
  <si>
    <t>Netherlands Guilder</t>
  </si>
  <si>
    <t>TPE</t>
  </si>
  <si>
    <t>Timorian Escudo</t>
  </si>
  <si>
    <t>Special Drawing Right</t>
  </si>
  <si>
    <t>MAPL</t>
  </si>
  <si>
    <t>Metallwährung Maple Leaf</t>
  </si>
  <si>
    <t>EAG1</t>
  </si>
  <si>
    <t>Metallwährung Eagle 1Uz</t>
  </si>
  <si>
    <t>VREN20</t>
  </si>
  <si>
    <t>Metallwährung 20er Vreneli</t>
  </si>
  <si>
    <t>PLGR</t>
  </si>
  <si>
    <t>Metallwährung Platin Gramm</t>
  </si>
  <si>
    <t>Lao Kip</t>
  </si>
  <si>
    <t>Lesotho Loti</t>
  </si>
  <si>
    <t>LUF</t>
  </si>
  <si>
    <t>Luxembourg Franc</t>
  </si>
  <si>
    <t>ESP</t>
  </si>
  <si>
    <t>Spanish Peseta</t>
  </si>
  <si>
    <t>FIM</t>
  </si>
  <si>
    <t>Finnish Mark</t>
  </si>
  <si>
    <t>GOLD</t>
  </si>
  <si>
    <t>GOLD 1 UNZE (274702)</t>
  </si>
  <si>
    <t>MGF</t>
  </si>
  <si>
    <t>Malagasy Franc</t>
  </si>
  <si>
    <t>ROL</t>
  </si>
  <si>
    <t>Romanian Leu</t>
  </si>
  <si>
    <t>TRL</t>
  </si>
  <si>
    <t>GOGR</t>
  </si>
  <si>
    <t>Metallwährung Gold Gramm</t>
  </si>
  <si>
    <t>PAGR</t>
  </si>
  <si>
    <t>Metallwährung Paladium Gramm</t>
  </si>
  <si>
    <t>Unknown</t>
  </si>
  <si>
    <t>Serbia and Montenegro</t>
  </si>
  <si>
    <t>Europe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</si>
</sst>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49" fontId="0" fillId="0" borderId="1" xfId="0" applyNumberFormat="1" applyFont="1" applyBorder="1"/>
    <xf numFmtId="49" fontId="0" fillId="0" borderId="2" xfId="0" applyNumberFormat="1" applyFont="1" applyBorder="1"/>
    <xf numFmtId="49" fontId="0" fillId="2" borderId="1" xfId="0" applyNumberFormat="1" applyFont="1" applyFill="1" applyBorder="1"/>
    <xf numFmtId="49" fontId="0" fillId="2" borderId="2" xfId="0" applyNumberFormat="1" applyFont="1" applyFill="1" applyBorder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1" fillId="0" borderId="0" xfId="0" applyFont="1" applyAlignment="1">
      <alignment vertical="center"/>
    </xf>
    <xf numFmtId="0" fontId="0" fillId="0" borderId="0" xfId="0" applyNumberFormat="1"/>
    <xf numFmtId="0" fontId="1" fillId="3" borderId="0" xfId="0" applyFont="1" applyFill="1" applyAlignment="1">
      <alignment wrapText="1"/>
    </xf>
    <xf numFmtId="0" fontId="0" fillId="3" borderId="0" xfId="0" applyNumberFormat="1" applyFill="1"/>
    <xf numFmtId="0" fontId="0" fillId="3" borderId="0" xfId="0" applyFill="1"/>
    <xf numFmtId="0" fontId="0" fillId="3" borderId="0" xfId="0" applyFill="1" applyAlignment="1">
      <alignment wrapText="1"/>
    </xf>
    <xf numFmtId="0" fontId="0" fillId="4" borderId="0" xfId="0" applyFill="1"/>
    <xf numFmtId="0" fontId="3" fillId="6" borderId="3" xfId="0" applyFont="1" applyFill="1" applyBorder="1"/>
    <xf numFmtId="0" fontId="3" fillId="5" borderId="4" xfId="0" applyFont="1" applyFill="1" applyBorder="1" applyProtection="1">
      <protection locked="0"/>
    </xf>
    <xf numFmtId="0" fontId="3" fillId="6" borderId="5" xfId="0" applyFont="1" applyFill="1" applyBorder="1"/>
    <xf numFmtId="0" fontId="3" fillId="5" borderId="6" xfId="0" applyFont="1" applyFill="1" applyBorder="1" applyProtection="1">
      <protection locked="0"/>
    </xf>
    <xf numFmtId="0" fontId="3" fillId="6" borderId="7" xfId="0" applyFont="1" applyFill="1" applyBorder="1"/>
    <xf numFmtId="0" fontId="3" fillId="5" borderId="8" xfId="0" applyFont="1" applyFill="1" applyBorder="1" applyProtection="1">
      <protection locked="0"/>
    </xf>
    <xf numFmtId="0" fontId="3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8</xdr:row>
          <xdr:rowOff>47625</xdr:rowOff>
        </xdr:from>
        <xdr:to>
          <xdr:col>1</xdr:col>
          <xdr:colOff>485775</xdr:colOff>
          <xdr:row>10</xdr:row>
          <xdr:rowOff>66675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762000</xdr:colOff>
          <xdr:row>8</xdr:row>
          <xdr:rowOff>57150</xdr:rowOff>
        </xdr:from>
        <xdr:to>
          <xdr:col>4</xdr:col>
          <xdr:colOff>104775</xdr:colOff>
          <xdr:row>10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122</xdr:row>
      <xdr:rowOff>76200</xdr:rowOff>
    </xdr:from>
    <xdr:to>
      <xdr:col>21</xdr:col>
      <xdr:colOff>314325</xdr:colOff>
      <xdr:row>258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2B30FE2D-3814-4B9A-931B-9CA18AB68FE1}"/>
            </a:ext>
          </a:extLst>
        </xdr:cNvPr>
        <xdr:cNvSpPr txBox="1"/>
      </xdr:nvSpPr>
      <xdr:spPr>
        <a:xfrm>
          <a:off x="11382375" y="1028700"/>
          <a:ext cx="5086350" cy="2571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/>
            <a:t>CREATE TABLE recipes ( recipe_id INT NOT NULL, recipe_name VARCHAR(30) NOT NULL, PRIMARY KEY (recipe_id), UNIQUE (recipe_name) ); INSERT INTO recipes (recipe_id, recipe_name) VALUES (1,"Tacos"), (2,"Tomato Soup"), (3,"Grilled Cheese"); 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oecd.org/tax/automatic-exchange/common-reporting-standard/schema-and-user-guide/CRS-schema-v1.0.zip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5"/>
  <sheetViews>
    <sheetView workbookViewId="0">
      <selection activeCell="B12" sqref="B12"/>
    </sheetView>
  </sheetViews>
  <sheetFormatPr defaultRowHeight="15" x14ac:dyDescent="0.25"/>
  <cols>
    <col min="1" max="1" width="5.5703125" customWidth="1"/>
    <col min="2" max="2" width="114.7109375" customWidth="1"/>
  </cols>
  <sheetData>
    <row r="1" spans="1:2" s="6" customFormat="1" x14ac:dyDescent="0.25">
      <c r="A1" s="6" t="s">
        <v>679</v>
      </c>
      <c r="B1" s="6" t="s">
        <v>680</v>
      </c>
    </row>
    <row r="2" spans="1:2" ht="74.25" customHeight="1" x14ac:dyDescent="0.25">
      <c r="A2">
        <v>1</v>
      </c>
      <c r="B2" s="5" t="s">
        <v>681</v>
      </c>
    </row>
    <row r="3" spans="1:2" x14ac:dyDescent="0.25">
      <c r="A3">
        <v>2</v>
      </c>
      <c r="B3" t="s">
        <v>682</v>
      </c>
    </row>
    <row r="4" spans="1:2" ht="30" x14ac:dyDescent="0.25">
      <c r="A4">
        <v>3</v>
      </c>
      <c r="B4" s="5" t="s">
        <v>1052</v>
      </c>
    </row>
    <row r="5" spans="1:2" ht="45" x14ac:dyDescent="0.25">
      <c r="A5">
        <v>4</v>
      </c>
      <c r="B5" s="5" t="s">
        <v>1053</v>
      </c>
    </row>
    <row r="6" spans="1:2" ht="30" x14ac:dyDescent="0.25">
      <c r="A6">
        <v>5</v>
      </c>
      <c r="B6" s="5" t="s">
        <v>1050</v>
      </c>
    </row>
    <row r="7" spans="1:2" ht="30" x14ac:dyDescent="0.25">
      <c r="A7">
        <v>6</v>
      </c>
      <c r="B7" s="5" t="s">
        <v>1051</v>
      </c>
    </row>
    <row r="8" spans="1:2" x14ac:dyDescent="0.25">
      <c r="A8">
        <v>7</v>
      </c>
      <c r="B8" s="5" t="s">
        <v>1049</v>
      </c>
    </row>
    <row r="9" spans="1:2" x14ac:dyDescent="0.25">
      <c r="A9">
        <v>8</v>
      </c>
    </row>
    <row r="10" spans="1:2" x14ac:dyDescent="0.25">
      <c r="A10">
        <v>9</v>
      </c>
    </row>
    <row r="11" spans="1:2" x14ac:dyDescent="0.25">
      <c r="A11">
        <v>10</v>
      </c>
    </row>
    <row r="12" spans="1:2" x14ac:dyDescent="0.25">
      <c r="A12">
        <v>11</v>
      </c>
    </row>
    <row r="13" spans="1:2" x14ac:dyDescent="0.25">
      <c r="A13">
        <v>12</v>
      </c>
    </row>
    <row r="14" spans="1:2" x14ac:dyDescent="0.25">
      <c r="A14">
        <v>13</v>
      </c>
    </row>
    <row r="15" spans="1:2" x14ac:dyDescent="0.25">
      <c r="A15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150"/>
  <sheetViews>
    <sheetView topLeftCell="A46" workbookViewId="0"/>
  </sheetViews>
  <sheetFormatPr defaultRowHeight="15" x14ac:dyDescent="0.25"/>
  <sheetData>
    <row r="1" spans="1:4" x14ac:dyDescent="0.25">
      <c r="A1" t="s">
        <v>1067</v>
      </c>
      <c r="B1" t="s">
        <v>1068</v>
      </c>
      <c r="C1" t="s">
        <v>1069</v>
      </c>
      <c r="D1" t="s">
        <v>1071</v>
      </c>
    </row>
    <row r="2" spans="1:4" x14ac:dyDescent="0.25">
      <c r="A2">
        <v>2117</v>
      </c>
      <c r="B2">
        <v>41</v>
      </c>
      <c r="C2" t="s">
        <v>249</v>
      </c>
      <c r="D2" t="s">
        <v>1072</v>
      </c>
    </row>
    <row r="3" spans="1:4" x14ac:dyDescent="0.25">
      <c r="A3">
        <v>2168</v>
      </c>
      <c r="B3">
        <v>41</v>
      </c>
      <c r="C3" t="s">
        <v>253</v>
      </c>
      <c r="D3" t="s">
        <v>1073</v>
      </c>
    </row>
    <row r="4" spans="1:4" x14ac:dyDescent="0.25">
      <c r="A4">
        <v>2022</v>
      </c>
      <c r="B4">
        <v>41</v>
      </c>
      <c r="C4" t="s">
        <v>299</v>
      </c>
      <c r="D4" t="s">
        <v>1074</v>
      </c>
    </row>
    <row r="5" spans="1:4" x14ac:dyDescent="0.25">
      <c r="A5">
        <v>2039</v>
      </c>
      <c r="B5">
        <v>41</v>
      </c>
      <c r="C5" t="s">
        <v>307</v>
      </c>
      <c r="D5" t="s">
        <v>1075</v>
      </c>
    </row>
    <row r="6" spans="1:4" x14ac:dyDescent="0.25">
      <c r="A6">
        <v>2004</v>
      </c>
      <c r="B6">
        <v>41</v>
      </c>
      <c r="C6" t="s">
        <v>345</v>
      </c>
      <c r="D6" t="s">
        <v>1076</v>
      </c>
    </row>
    <row r="7" spans="1:4" x14ac:dyDescent="0.25">
      <c r="A7">
        <v>2007</v>
      </c>
      <c r="B7">
        <v>41</v>
      </c>
      <c r="C7" t="s">
        <v>399</v>
      </c>
      <c r="D7" t="s">
        <v>1077</v>
      </c>
    </row>
    <row r="8" spans="1:4" x14ac:dyDescent="0.25">
      <c r="A8">
        <v>2015</v>
      </c>
      <c r="B8">
        <v>41</v>
      </c>
      <c r="C8" t="s">
        <v>439</v>
      </c>
      <c r="D8" t="s">
        <v>1078</v>
      </c>
    </row>
    <row r="9" spans="1:4" x14ac:dyDescent="0.25">
      <c r="A9">
        <v>2190</v>
      </c>
      <c r="B9">
        <v>41</v>
      </c>
      <c r="C9" t="s">
        <v>365</v>
      </c>
      <c r="D9" t="s">
        <v>1079</v>
      </c>
    </row>
    <row r="10" spans="1:4" x14ac:dyDescent="0.25">
      <c r="A10">
        <v>2197</v>
      </c>
      <c r="B10">
        <v>41</v>
      </c>
      <c r="C10" t="s">
        <v>291</v>
      </c>
      <c r="D10" t="s">
        <v>1080</v>
      </c>
    </row>
    <row r="11" spans="1:4" x14ac:dyDescent="0.25">
      <c r="A11">
        <v>2064</v>
      </c>
      <c r="B11">
        <v>41</v>
      </c>
      <c r="C11" t="s">
        <v>385</v>
      </c>
      <c r="D11" t="s">
        <v>1081</v>
      </c>
    </row>
    <row r="12" spans="1:4" x14ac:dyDescent="0.25">
      <c r="A12">
        <v>2080</v>
      </c>
      <c r="B12">
        <v>41</v>
      </c>
      <c r="C12" t="s">
        <v>599</v>
      </c>
      <c r="D12" t="s">
        <v>1082</v>
      </c>
    </row>
    <row r="13" spans="1:4" x14ac:dyDescent="0.25">
      <c r="A13">
        <v>2057</v>
      </c>
      <c r="B13">
        <v>41</v>
      </c>
      <c r="C13" t="s">
        <v>431</v>
      </c>
      <c r="D13" t="s">
        <v>1083</v>
      </c>
    </row>
    <row r="14" spans="1:4" x14ac:dyDescent="0.25">
      <c r="A14">
        <v>2024</v>
      </c>
      <c r="B14">
        <v>41</v>
      </c>
      <c r="C14" t="s">
        <v>533</v>
      </c>
      <c r="D14" t="s">
        <v>1084</v>
      </c>
    </row>
    <row r="15" spans="1:4" x14ac:dyDescent="0.25">
      <c r="A15">
        <v>2046</v>
      </c>
      <c r="B15">
        <v>41</v>
      </c>
      <c r="C15" t="s">
        <v>569</v>
      </c>
      <c r="D15" t="s">
        <v>1085</v>
      </c>
    </row>
    <row r="16" spans="1:4" x14ac:dyDescent="0.25">
      <c r="A16">
        <v>2130</v>
      </c>
      <c r="B16">
        <v>41</v>
      </c>
      <c r="C16" t="s">
        <v>645</v>
      </c>
      <c r="D16" t="s">
        <v>1086</v>
      </c>
    </row>
    <row r="17" spans="1:4" x14ac:dyDescent="0.25">
      <c r="A17">
        <v>2099</v>
      </c>
      <c r="B17">
        <v>41</v>
      </c>
      <c r="C17" t="s">
        <v>205</v>
      </c>
      <c r="D17" t="s">
        <v>1087</v>
      </c>
    </row>
    <row r="18" spans="1:4" x14ac:dyDescent="0.25">
      <c r="A18">
        <v>2056</v>
      </c>
      <c r="B18">
        <v>41</v>
      </c>
      <c r="C18" t="s">
        <v>187</v>
      </c>
      <c r="D18" t="s">
        <v>1088</v>
      </c>
    </row>
    <row r="19" spans="1:4" x14ac:dyDescent="0.25">
      <c r="A19">
        <v>2016</v>
      </c>
      <c r="B19">
        <v>41</v>
      </c>
      <c r="C19" t="s">
        <v>329</v>
      </c>
      <c r="D19" t="s">
        <v>1089</v>
      </c>
    </row>
    <row r="20" spans="1:4" x14ac:dyDescent="0.25">
      <c r="A20">
        <v>2018</v>
      </c>
      <c r="B20">
        <v>41</v>
      </c>
      <c r="C20" t="s">
        <v>597</v>
      </c>
      <c r="D20" t="s">
        <v>1090</v>
      </c>
    </row>
    <row r="21" spans="1:4" x14ac:dyDescent="0.25">
      <c r="A21">
        <v>2240</v>
      </c>
      <c r="B21">
        <v>41</v>
      </c>
      <c r="C21" t="s">
        <v>585</v>
      </c>
      <c r="D21" t="s">
        <v>1091</v>
      </c>
    </row>
    <row r="22" spans="1:4" x14ac:dyDescent="0.25">
      <c r="A22">
        <v>2184</v>
      </c>
      <c r="B22">
        <v>41</v>
      </c>
      <c r="C22" t="s">
        <v>327</v>
      </c>
      <c r="D22" t="s">
        <v>1092</v>
      </c>
    </row>
    <row r="23" spans="1:4" x14ac:dyDescent="0.25">
      <c r="A23">
        <v>2052</v>
      </c>
      <c r="B23">
        <v>41</v>
      </c>
      <c r="C23" t="s">
        <v>395</v>
      </c>
      <c r="D23" t="s">
        <v>1093</v>
      </c>
    </row>
    <row r="24" spans="1:4" x14ac:dyDescent="0.25">
      <c r="A24">
        <v>2124</v>
      </c>
      <c r="B24">
        <v>41</v>
      </c>
      <c r="C24" t="s">
        <v>361</v>
      </c>
      <c r="D24" t="s">
        <v>1094</v>
      </c>
    </row>
    <row r="25" spans="1:4" x14ac:dyDescent="0.25">
      <c r="A25">
        <v>2094</v>
      </c>
      <c r="B25">
        <v>41</v>
      </c>
      <c r="C25" t="s">
        <v>397</v>
      </c>
      <c r="D25" t="s">
        <v>1095</v>
      </c>
    </row>
    <row r="26" spans="1:4" x14ac:dyDescent="0.25">
      <c r="A26">
        <v>2029</v>
      </c>
      <c r="B26">
        <v>41</v>
      </c>
      <c r="C26" t="s">
        <v>383</v>
      </c>
      <c r="D26" t="s">
        <v>1096</v>
      </c>
    </row>
    <row r="27" spans="1:4" x14ac:dyDescent="0.25">
      <c r="A27">
        <v>2073</v>
      </c>
      <c r="B27">
        <v>41</v>
      </c>
      <c r="C27" t="s">
        <v>417</v>
      </c>
      <c r="D27" t="s">
        <v>1097</v>
      </c>
    </row>
    <row r="28" spans="1:4" x14ac:dyDescent="0.25">
      <c r="A28">
        <v>2086</v>
      </c>
      <c r="B28">
        <v>41</v>
      </c>
      <c r="C28" t="s">
        <v>419</v>
      </c>
      <c r="D28" t="s">
        <v>1098</v>
      </c>
    </row>
    <row r="29" spans="1:4" x14ac:dyDescent="0.25">
      <c r="A29">
        <v>2097</v>
      </c>
      <c r="B29">
        <v>41</v>
      </c>
      <c r="C29" t="s">
        <v>427</v>
      </c>
      <c r="D29" t="s">
        <v>1099</v>
      </c>
    </row>
    <row r="30" spans="1:4" x14ac:dyDescent="0.25">
      <c r="A30">
        <v>2002</v>
      </c>
      <c r="B30">
        <v>41</v>
      </c>
      <c r="C30" t="s">
        <v>437</v>
      </c>
      <c r="D30" t="s">
        <v>1100</v>
      </c>
    </row>
    <row r="31" spans="1:4" x14ac:dyDescent="0.25">
      <c r="A31">
        <v>2211</v>
      </c>
      <c r="B31">
        <v>41</v>
      </c>
      <c r="C31" t="s">
        <v>443</v>
      </c>
      <c r="D31" t="s">
        <v>1101</v>
      </c>
    </row>
    <row r="32" spans="1:4" x14ac:dyDescent="0.25">
      <c r="A32">
        <v>2127</v>
      </c>
      <c r="B32">
        <v>41</v>
      </c>
      <c r="C32" t="s">
        <v>461</v>
      </c>
      <c r="D32" t="s">
        <v>1102</v>
      </c>
    </row>
    <row r="33" spans="1:4" x14ac:dyDescent="0.25">
      <c r="A33">
        <v>2219</v>
      </c>
      <c r="B33">
        <v>41</v>
      </c>
      <c r="C33" t="s">
        <v>451</v>
      </c>
      <c r="D33" t="s">
        <v>1103</v>
      </c>
    </row>
    <row r="34" spans="1:4" x14ac:dyDescent="0.25">
      <c r="A34">
        <v>2226</v>
      </c>
      <c r="B34">
        <v>41</v>
      </c>
      <c r="C34" t="s">
        <v>499</v>
      </c>
      <c r="D34" t="s">
        <v>1104</v>
      </c>
    </row>
    <row r="35" spans="1:4" x14ac:dyDescent="0.25">
      <c r="A35">
        <v>2133</v>
      </c>
      <c r="B35">
        <v>41</v>
      </c>
      <c r="C35" t="s">
        <v>575</v>
      </c>
      <c r="D35" t="s">
        <v>1105</v>
      </c>
    </row>
    <row r="36" spans="1:4" x14ac:dyDescent="0.25">
      <c r="A36">
        <v>2047</v>
      </c>
      <c r="B36">
        <v>41</v>
      </c>
      <c r="C36" t="s">
        <v>613</v>
      </c>
      <c r="D36" t="s">
        <v>1106</v>
      </c>
    </row>
    <row r="37" spans="1:4" x14ac:dyDescent="0.25">
      <c r="A37">
        <v>2161</v>
      </c>
      <c r="B37">
        <v>41</v>
      </c>
      <c r="C37" t="s">
        <v>185</v>
      </c>
      <c r="D37" t="s">
        <v>1107</v>
      </c>
    </row>
    <row r="38" spans="1:4" x14ac:dyDescent="0.25">
      <c r="A38">
        <v>2116</v>
      </c>
      <c r="B38">
        <v>41</v>
      </c>
      <c r="C38" t="s">
        <v>239</v>
      </c>
      <c r="D38" t="s">
        <v>1108</v>
      </c>
    </row>
    <row r="39" spans="1:4" x14ac:dyDescent="0.25">
      <c r="A39">
        <v>2119</v>
      </c>
      <c r="B39">
        <v>41</v>
      </c>
      <c r="C39" t="s">
        <v>261</v>
      </c>
      <c r="D39" t="s">
        <v>1109</v>
      </c>
    </row>
    <row r="40" spans="1:4" x14ac:dyDescent="0.25">
      <c r="A40">
        <v>2017</v>
      </c>
      <c r="B40">
        <v>41</v>
      </c>
      <c r="C40" t="s">
        <v>351</v>
      </c>
      <c r="D40" t="s">
        <v>1110</v>
      </c>
    </row>
    <row r="41" spans="1:4" x14ac:dyDescent="0.25">
      <c r="A41">
        <v>2111</v>
      </c>
      <c r="B41">
        <v>41</v>
      </c>
      <c r="C41" t="s">
        <v>349</v>
      </c>
      <c r="D41" t="s">
        <v>1111</v>
      </c>
    </row>
    <row r="42" spans="1:4" x14ac:dyDescent="0.25">
      <c r="A42">
        <v>2113</v>
      </c>
      <c r="B42">
        <v>41</v>
      </c>
      <c r="C42" t="s">
        <v>463</v>
      </c>
      <c r="D42" t="s">
        <v>1112</v>
      </c>
    </row>
    <row r="43" spans="1:4" x14ac:dyDescent="0.25">
      <c r="A43">
        <v>2068</v>
      </c>
      <c r="B43">
        <v>41</v>
      </c>
      <c r="C43" t="s">
        <v>449</v>
      </c>
      <c r="D43" t="s">
        <v>1113</v>
      </c>
    </row>
    <row r="44" spans="1:4" x14ac:dyDescent="0.25">
      <c r="A44">
        <v>2012</v>
      </c>
      <c r="B44">
        <v>41</v>
      </c>
      <c r="C44" t="s">
        <v>511</v>
      </c>
      <c r="D44" t="s">
        <v>1114</v>
      </c>
    </row>
    <row r="45" spans="1:4" x14ac:dyDescent="0.25">
      <c r="A45">
        <v>2228</v>
      </c>
      <c r="B45">
        <v>41</v>
      </c>
      <c r="C45" t="s">
        <v>513</v>
      </c>
      <c r="D45" t="s">
        <v>1115</v>
      </c>
    </row>
    <row r="46" spans="1:4" x14ac:dyDescent="0.25">
      <c r="A46">
        <v>2093</v>
      </c>
      <c r="B46">
        <v>41</v>
      </c>
      <c r="C46" t="s">
        <v>527</v>
      </c>
      <c r="D46" t="s">
        <v>1116</v>
      </c>
    </row>
    <row r="47" spans="1:4" x14ac:dyDescent="0.25">
      <c r="A47">
        <v>2026</v>
      </c>
      <c r="B47">
        <v>41</v>
      </c>
      <c r="C47" t="s">
        <v>545</v>
      </c>
      <c r="D47" t="s">
        <v>1117</v>
      </c>
    </row>
    <row r="48" spans="1:4" x14ac:dyDescent="0.25">
      <c r="A48">
        <v>2236</v>
      </c>
      <c r="B48">
        <v>41</v>
      </c>
      <c r="C48" t="s">
        <v>547</v>
      </c>
      <c r="D48" t="s">
        <v>1118</v>
      </c>
    </row>
    <row r="49" spans="1:4" x14ac:dyDescent="0.25">
      <c r="A49">
        <v>2243</v>
      </c>
      <c r="B49">
        <v>41</v>
      </c>
      <c r="C49" t="s">
        <v>589</v>
      </c>
      <c r="D49" t="s">
        <v>1119</v>
      </c>
    </row>
    <row r="50" spans="1:4" x14ac:dyDescent="0.25">
      <c r="A50">
        <v>2065</v>
      </c>
      <c r="B50">
        <v>41</v>
      </c>
      <c r="C50" t="s">
        <v>615</v>
      </c>
      <c r="D50" t="s">
        <v>1120</v>
      </c>
    </row>
    <row r="51" spans="1:4" x14ac:dyDescent="0.25">
      <c r="A51">
        <v>2260</v>
      </c>
      <c r="B51">
        <v>41</v>
      </c>
      <c r="C51" t="s">
        <v>653</v>
      </c>
      <c r="D51" t="s">
        <v>1121</v>
      </c>
    </row>
    <row r="52" spans="1:4" x14ac:dyDescent="0.25">
      <c r="A52">
        <v>2261</v>
      </c>
      <c r="B52">
        <v>41</v>
      </c>
      <c r="C52" t="s">
        <v>657</v>
      </c>
      <c r="D52" t="s">
        <v>1122</v>
      </c>
    </row>
    <row r="53" spans="1:4" x14ac:dyDescent="0.25">
      <c r="A53">
        <v>2266</v>
      </c>
      <c r="B53">
        <v>41</v>
      </c>
      <c r="C53" t="s">
        <v>563</v>
      </c>
      <c r="D53" t="s">
        <v>1123</v>
      </c>
    </row>
    <row r="54" spans="1:4" x14ac:dyDescent="0.25">
      <c r="A54">
        <v>2139</v>
      </c>
      <c r="B54">
        <v>41</v>
      </c>
      <c r="C54" t="s">
        <v>673</v>
      </c>
      <c r="D54" t="s">
        <v>1124</v>
      </c>
    </row>
    <row r="55" spans="1:4" x14ac:dyDescent="0.25">
      <c r="A55">
        <v>2255</v>
      </c>
      <c r="B55">
        <v>41</v>
      </c>
      <c r="C55" t="s">
        <v>637</v>
      </c>
      <c r="D55" t="s">
        <v>1125</v>
      </c>
    </row>
    <row r="56" spans="1:4" x14ac:dyDescent="0.25">
      <c r="A56">
        <v>2131</v>
      </c>
      <c r="B56">
        <v>41</v>
      </c>
      <c r="C56" t="s">
        <v>677</v>
      </c>
      <c r="D56" t="s">
        <v>1126</v>
      </c>
    </row>
    <row r="57" spans="1:4" x14ac:dyDescent="0.25">
      <c r="A57">
        <v>2036</v>
      </c>
      <c r="B57">
        <v>41</v>
      </c>
      <c r="C57" t="s">
        <v>1070</v>
      </c>
      <c r="D57" t="s">
        <v>1127</v>
      </c>
    </row>
    <row r="58" spans="1:4" x14ac:dyDescent="0.25">
      <c r="A58">
        <v>2115</v>
      </c>
      <c r="B58">
        <v>41</v>
      </c>
      <c r="C58" t="s">
        <v>215</v>
      </c>
      <c r="D58" t="s">
        <v>1128</v>
      </c>
    </row>
    <row r="59" spans="1:4" x14ac:dyDescent="0.25">
      <c r="A59">
        <v>2032</v>
      </c>
      <c r="B59">
        <v>41</v>
      </c>
      <c r="C59" t="s">
        <v>243</v>
      </c>
      <c r="D59" t="s">
        <v>1129</v>
      </c>
    </row>
    <row r="60" spans="1:4" x14ac:dyDescent="0.25">
      <c r="A60">
        <v>2106</v>
      </c>
      <c r="B60">
        <v>41</v>
      </c>
      <c r="C60" t="s">
        <v>225</v>
      </c>
      <c r="D60" t="s">
        <v>1130</v>
      </c>
    </row>
    <row r="61" spans="1:4" x14ac:dyDescent="0.25">
      <c r="A61">
        <v>2041</v>
      </c>
      <c r="B61">
        <v>41</v>
      </c>
      <c r="C61" t="s">
        <v>311</v>
      </c>
      <c r="D61" t="s">
        <v>1131</v>
      </c>
    </row>
    <row r="62" spans="1:4" x14ac:dyDescent="0.25">
      <c r="A62">
        <v>2009</v>
      </c>
      <c r="B62">
        <v>41</v>
      </c>
      <c r="C62" t="s">
        <v>209</v>
      </c>
      <c r="D62" t="s">
        <v>1132</v>
      </c>
    </row>
    <row r="63" spans="1:4" x14ac:dyDescent="0.25">
      <c r="A63">
        <v>2020</v>
      </c>
      <c r="B63">
        <v>41</v>
      </c>
      <c r="C63" t="s">
        <v>393</v>
      </c>
      <c r="D63" t="s">
        <v>1133</v>
      </c>
    </row>
    <row r="64" spans="1:4" x14ac:dyDescent="0.25">
      <c r="A64">
        <v>2200</v>
      </c>
      <c r="B64">
        <v>41</v>
      </c>
      <c r="C64" t="s">
        <v>421</v>
      </c>
      <c r="D64" t="s">
        <v>1134</v>
      </c>
    </row>
    <row r="65" spans="1:4" x14ac:dyDescent="0.25">
      <c r="A65">
        <v>2201</v>
      </c>
      <c r="B65">
        <v>41</v>
      </c>
      <c r="C65" t="s">
        <v>255</v>
      </c>
      <c r="D65" t="s">
        <v>1135</v>
      </c>
    </row>
    <row r="66" spans="1:4" x14ac:dyDescent="0.25">
      <c r="A66">
        <v>2205</v>
      </c>
      <c r="B66">
        <v>41</v>
      </c>
      <c r="C66" t="s">
        <v>409</v>
      </c>
      <c r="D66" t="s">
        <v>1136</v>
      </c>
    </row>
    <row r="67" spans="1:4" x14ac:dyDescent="0.25">
      <c r="A67">
        <v>2045</v>
      </c>
      <c r="B67">
        <v>41</v>
      </c>
      <c r="C67" t="s">
        <v>433</v>
      </c>
      <c r="D67" t="s">
        <v>1137</v>
      </c>
    </row>
    <row r="68" spans="1:4" x14ac:dyDescent="0.25">
      <c r="A68">
        <v>2072</v>
      </c>
      <c r="B68">
        <v>41</v>
      </c>
      <c r="C68" t="s">
        <v>529</v>
      </c>
      <c r="D68" t="s">
        <v>1138</v>
      </c>
    </row>
    <row r="69" spans="1:4" x14ac:dyDescent="0.25">
      <c r="A69">
        <v>2062</v>
      </c>
      <c r="B69">
        <v>41</v>
      </c>
      <c r="C69" t="s">
        <v>621</v>
      </c>
      <c r="D69" t="s">
        <v>1139</v>
      </c>
    </row>
    <row r="70" spans="1:4" x14ac:dyDescent="0.25">
      <c r="A70">
        <v>2252</v>
      </c>
      <c r="B70">
        <v>41</v>
      </c>
      <c r="C70" t="s">
        <v>617</v>
      </c>
      <c r="D70" t="s">
        <v>1140</v>
      </c>
    </row>
    <row r="71" spans="1:4" x14ac:dyDescent="0.25">
      <c r="A71">
        <v>2092</v>
      </c>
      <c r="B71">
        <v>41</v>
      </c>
      <c r="C71" t="s">
        <v>655</v>
      </c>
      <c r="D71" t="s">
        <v>1141</v>
      </c>
    </row>
    <row r="72" spans="1:4" x14ac:dyDescent="0.25">
      <c r="A72">
        <v>2264</v>
      </c>
      <c r="B72">
        <v>41</v>
      </c>
      <c r="C72" t="s">
        <v>659</v>
      </c>
      <c r="D72" t="s">
        <v>1142</v>
      </c>
    </row>
    <row r="73" spans="1:4" x14ac:dyDescent="0.25">
      <c r="A73">
        <v>2048</v>
      </c>
      <c r="B73">
        <v>41</v>
      </c>
      <c r="C73" t="s">
        <v>647</v>
      </c>
      <c r="D73" t="s">
        <v>1143</v>
      </c>
    </row>
    <row r="74" spans="1:4" x14ac:dyDescent="0.25">
      <c r="A74">
        <v>2170</v>
      </c>
      <c r="B74">
        <v>41</v>
      </c>
      <c r="C74" t="s">
        <v>247</v>
      </c>
      <c r="D74" t="s">
        <v>1144</v>
      </c>
    </row>
    <row r="75" spans="1:4" x14ac:dyDescent="0.25">
      <c r="A75">
        <v>2096</v>
      </c>
      <c r="B75">
        <v>41</v>
      </c>
      <c r="C75" t="s">
        <v>271</v>
      </c>
      <c r="D75" t="s">
        <v>1145</v>
      </c>
    </row>
    <row r="76" spans="1:4" x14ac:dyDescent="0.25">
      <c r="A76">
        <v>2019</v>
      </c>
      <c r="B76">
        <v>41</v>
      </c>
      <c r="C76" t="s">
        <v>535</v>
      </c>
      <c r="D76" t="s">
        <v>1146</v>
      </c>
    </row>
    <row r="77" spans="1:4" x14ac:dyDescent="0.25">
      <c r="A77">
        <v>2125</v>
      </c>
      <c r="B77">
        <v>41</v>
      </c>
      <c r="C77" t="s">
        <v>377</v>
      </c>
      <c r="D77" t="s">
        <v>1147</v>
      </c>
    </row>
    <row r="78" spans="1:4" x14ac:dyDescent="0.25">
      <c r="A78">
        <v>2144</v>
      </c>
      <c r="B78">
        <v>41</v>
      </c>
      <c r="C78" t="s">
        <v>401</v>
      </c>
      <c r="D78" t="s">
        <v>1148</v>
      </c>
    </row>
    <row r="79" spans="1:4" x14ac:dyDescent="0.25">
      <c r="A79">
        <v>2061</v>
      </c>
      <c r="B79">
        <v>41</v>
      </c>
      <c r="C79" t="s">
        <v>411</v>
      </c>
      <c r="D79" t="s">
        <v>1149</v>
      </c>
    </row>
    <row r="80" spans="1:4" x14ac:dyDescent="0.25">
      <c r="A80">
        <v>2054</v>
      </c>
      <c r="B80">
        <v>41</v>
      </c>
      <c r="C80" t="s">
        <v>481</v>
      </c>
      <c r="D80" t="s">
        <v>1150</v>
      </c>
    </row>
    <row r="81" spans="1:4" x14ac:dyDescent="0.25">
      <c r="A81">
        <v>2081</v>
      </c>
      <c r="B81">
        <v>41</v>
      </c>
      <c r="C81" t="s">
        <v>523</v>
      </c>
      <c r="D81" t="s">
        <v>1151</v>
      </c>
    </row>
    <row r="82" spans="1:4" x14ac:dyDescent="0.25">
      <c r="A82">
        <v>2063</v>
      </c>
      <c r="B82">
        <v>41</v>
      </c>
      <c r="C82" t="s">
        <v>515</v>
      </c>
      <c r="D82" t="s">
        <v>1152</v>
      </c>
    </row>
    <row r="83" spans="1:4" x14ac:dyDescent="0.25">
      <c r="A83">
        <v>2234</v>
      </c>
      <c r="B83">
        <v>41</v>
      </c>
      <c r="C83" t="s">
        <v>539</v>
      </c>
      <c r="D83" t="s">
        <v>1153</v>
      </c>
    </row>
    <row r="84" spans="1:4" x14ac:dyDescent="0.25">
      <c r="A84">
        <v>2070</v>
      </c>
      <c r="B84">
        <v>41</v>
      </c>
      <c r="C84" t="s">
        <v>579</v>
      </c>
      <c r="D84" t="s">
        <v>1154</v>
      </c>
    </row>
    <row r="85" spans="1:4" x14ac:dyDescent="0.25">
      <c r="A85">
        <v>2257</v>
      </c>
      <c r="B85">
        <v>41</v>
      </c>
      <c r="C85" t="s">
        <v>631</v>
      </c>
      <c r="D85" t="s">
        <v>1155</v>
      </c>
    </row>
    <row r="86" spans="1:4" x14ac:dyDescent="0.25">
      <c r="A86">
        <v>2059</v>
      </c>
      <c r="B86">
        <v>41</v>
      </c>
      <c r="C86" t="s">
        <v>619</v>
      </c>
      <c r="D86" t="s">
        <v>1156</v>
      </c>
    </row>
    <row r="87" spans="1:4" x14ac:dyDescent="0.25">
      <c r="A87">
        <v>2000</v>
      </c>
      <c r="B87">
        <v>41</v>
      </c>
      <c r="C87" t="s">
        <v>651</v>
      </c>
      <c r="D87" t="s">
        <v>1157</v>
      </c>
    </row>
    <row r="88" spans="1:4" x14ac:dyDescent="0.25">
      <c r="A88">
        <v>2031</v>
      </c>
      <c r="B88">
        <v>41</v>
      </c>
      <c r="C88" t="s">
        <v>201</v>
      </c>
      <c r="D88" t="s">
        <v>1158</v>
      </c>
    </row>
    <row r="89" spans="1:4" x14ac:dyDescent="0.25">
      <c r="A89">
        <v>2074</v>
      </c>
      <c r="B89">
        <v>41</v>
      </c>
      <c r="C89" t="s">
        <v>207</v>
      </c>
      <c r="D89" t="s">
        <v>1159</v>
      </c>
    </row>
    <row r="90" spans="1:4" x14ac:dyDescent="0.25">
      <c r="A90">
        <v>2114</v>
      </c>
      <c r="B90">
        <v>41</v>
      </c>
      <c r="C90" t="s">
        <v>217</v>
      </c>
      <c r="D90" t="s">
        <v>1160</v>
      </c>
    </row>
    <row r="91" spans="1:4" x14ac:dyDescent="0.25">
      <c r="A91">
        <v>2033</v>
      </c>
      <c r="B91">
        <v>41</v>
      </c>
      <c r="C91" t="s">
        <v>269</v>
      </c>
      <c r="D91" t="s">
        <v>1161</v>
      </c>
    </row>
    <row r="92" spans="1:4" x14ac:dyDescent="0.25">
      <c r="A92">
        <v>2040</v>
      </c>
      <c r="B92">
        <v>41</v>
      </c>
      <c r="C92" t="s">
        <v>287</v>
      </c>
      <c r="D92" t="s">
        <v>1162</v>
      </c>
    </row>
    <row r="93" spans="1:4" x14ac:dyDescent="0.25">
      <c r="A93">
        <v>2010</v>
      </c>
      <c r="B93">
        <v>41</v>
      </c>
      <c r="C93" t="s">
        <v>301</v>
      </c>
      <c r="D93" t="s">
        <v>1163</v>
      </c>
    </row>
    <row r="94" spans="1:4" x14ac:dyDescent="0.25">
      <c r="A94">
        <v>2183</v>
      </c>
      <c r="B94">
        <v>41</v>
      </c>
      <c r="C94" t="s">
        <v>321</v>
      </c>
      <c r="D94" t="s">
        <v>1164</v>
      </c>
    </row>
    <row r="95" spans="1:4" x14ac:dyDescent="0.25">
      <c r="A95">
        <v>2008</v>
      </c>
      <c r="B95">
        <v>41</v>
      </c>
      <c r="C95" t="s">
        <v>223</v>
      </c>
      <c r="D95" t="s">
        <v>1165</v>
      </c>
    </row>
    <row r="96" spans="1:4" x14ac:dyDescent="0.25">
      <c r="A96">
        <v>2075</v>
      </c>
      <c r="B96">
        <v>41</v>
      </c>
      <c r="C96" t="s">
        <v>405</v>
      </c>
      <c r="D96" t="s">
        <v>1166</v>
      </c>
    </row>
    <row r="97" spans="1:4" x14ac:dyDescent="0.25">
      <c r="A97">
        <v>2188</v>
      </c>
      <c r="B97">
        <v>41</v>
      </c>
      <c r="C97" t="s">
        <v>343</v>
      </c>
      <c r="D97" t="s">
        <v>1167</v>
      </c>
    </row>
    <row r="98" spans="1:4" x14ac:dyDescent="0.25">
      <c r="A98">
        <v>2189</v>
      </c>
      <c r="B98">
        <v>41</v>
      </c>
      <c r="C98" t="s">
        <v>341</v>
      </c>
      <c r="D98" t="s">
        <v>1168</v>
      </c>
    </row>
    <row r="99" spans="1:4" x14ac:dyDescent="0.25">
      <c r="A99">
        <v>2107</v>
      </c>
      <c r="B99">
        <v>41</v>
      </c>
      <c r="C99" t="s">
        <v>369</v>
      </c>
      <c r="D99" t="s">
        <v>1169</v>
      </c>
    </row>
    <row r="100" spans="1:4" x14ac:dyDescent="0.25">
      <c r="A100">
        <v>2066</v>
      </c>
      <c r="B100">
        <v>41</v>
      </c>
      <c r="C100" t="s">
        <v>379</v>
      </c>
      <c r="D100" t="s">
        <v>1170</v>
      </c>
    </row>
    <row r="101" spans="1:4" x14ac:dyDescent="0.25">
      <c r="A101">
        <v>2023</v>
      </c>
      <c r="B101">
        <v>41</v>
      </c>
      <c r="C101" t="s">
        <v>381</v>
      </c>
      <c r="D101" t="s">
        <v>1171</v>
      </c>
    </row>
    <row r="102" spans="1:4" x14ac:dyDescent="0.25">
      <c r="A102">
        <v>2043</v>
      </c>
      <c r="B102">
        <v>41</v>
      </c>
      <c r="C102" t="s">
        <v>389</v>
      </c>
      <c r="D102" t="s">
        <v>1172</v>
      </c>
    </row>
    <row r="103" spans="1:4" x14ac:dyDescent="0.25">
      <c r="A103">
        <v>2079</v>
      </c>
      <c r="B103">
        <v>41</v>
      </c>
      <c r="C103" t="s">
        <v>263</v>
      </c>
      <c r="D103" t="s">
        <v>1173</v>
      </c>
    </row>
    <row r="104" spans="1:4" x14ac:dyDescent="0.25">
      <c r="A104">
        <v>2209</v>
      </c>
      <c r="B104">
        <v>41</v>
      </c>
      <c r="C104" t="s">
        <v>471</v>
      </c>
      <c r="D104" t="s">
        <v>1174</v>
      </c>
    </row>
    <row r="105" spans="1:4" x14ac:dyDescent="0.25">
      <c r="A105">
        <v>2214</v>
      </c>
      <c r="B105">
        <v>41</v>
      </c>
      <c r="C105" t="s">
        <v>475</v>
      </c>
      <c r="D105" t="s">
        <v>1175</v>
      </c>
    </row>
    <row r="106" spans="1:4" x14ac:dyDescent="0.25">
      <c r="A106">
        <v>2215</v>
      </c>
      <c r="B106">
        <v>41</v>
      </c>
      <c r="C106" t="s">
        <v>441</v>
      </c>
      <c r="D106" t="s">
        <v>1176</v>
      </c>
    </row>
    <row r="107" spans="1:4" x14ac:dyDescent="0.25">
      <c r="A107">
        <v>2220</v>
      </c>
      <c r="B107">
        <v>41</v>
      </c>
      <c r="C107" t="s">
        <v>447</v>
      </c>
      <c r="D107" t="s">
        <v>1177</v>
      </c>
    </row>
    <row r="108" spans="1:4" x14ac:dyDescent="0.25">
      <c r="A108">
        <v>2069</v>
      </c>
      <c r="B108">
        <v>41</v>
      </c>
      <c r="C108" t="s">
        <v>491</v>
      </c>
      <c r="D108" t="s">
        <v>1178</v>
      </c>
    </row>
    <row r="109" spans="1:4" x14ac:dyDescent="0.25">
      <c r="A109">
        <v>2245</v>
      </c>
      <c r="B109">
        <v>41</v>
      </c>
      <c r="C109" t="s">
        <v>567</v>
      </c>
      <c r="D109" t="s">
        <v>1179</v>
      </c>
    </row>
    <row r="110" spans="1:4" x14ac:dyDescent="0.25">
      <c r="A110">
        <v>2247</v>
      </c>
      <c r="B110">
        <v>41</v>
      </c>
      <c r="C110" t="s">
        <v>607</v>
      </c>
      <c r="D110" t="s">
        <v>1180</v>
      </c>
    </row>
    <row r="111" spans="1:4" x14ac:dyDescent="0.25">
      <c r="A111">
        <v>2256</v>
      </c>
      <c r="B111">
        <v>41</v>
      </c>
      <c r="C111" t="s">
        <v>629</v>
      </c>
      <c r="D111" t="s">
        <v>1181</v>
      </c>
    </row>
    <row r="112" spans="1:4" x14ac:dyDescent="0.25">
      <c r="A112">
        <v>2001</v>
      </c>
      <c r="B112">
        <v>41</v>
      </c>
      <c r="C112" t="s">
        <v>435</v>
      </c>
      <c r="D112" t="s">
        <v>1182</v>
      </c>
    </row>
    <row r="113" spans="1:4" x14ac:dyDescent="0.25">
      <c r="A113">
        <v>2089</v>
      </c>
      <c r="B113">
        <v>41</v>
      </c>
      <c r="C113" t="s">
        <v>611</v>
      </c>
      <c r="D113" t="s">
        <v>1183</v>
      </c>
    </row>
    <row r="114" spans="1:4" x14ac:dyDescent="0.25">
      <c r="A114">
        <v>2162</v>
      </c>
      <c r="B114">
        <v>41</v>
      </c>
      <c r="C114" t="s">
        <v>203</v>
      </c>
      <c r="D114" t="s">
        <v>1184</v>
      </c>
    </row>
    <row r="115" spans="1:4" x14ac:dyDescent="0.25">
      <c r="A115">
        <v>2166</v>
      </c>
      <c r="B115">
        <v>41</v>
      </c>
      <c r="C115" t="s">
        <v>237</v>
      </c>
      <c r="D115" t="s">
        <v>1185</v>
      </c>
    </row>
    <row r="116" spans="1:4" x14ac:dyDescent="0.25">
      <c r="A116">
        <v>2038</v>
      </c>
      <c r="B116">
        <v>41</v>
      </c>
      <c r="C116" t="s">
        <v>213</v>
      </c>
      <c r="D116" t="s">
        <v>1186</v>
      </c>
    </row>
    <row r="117" spans="1:4" x14ac:dyDescent="0.25">
      <c r="A117">
        <v>2173</v>
      </c>
      <c r="B117">
        <v>41</v>
      </c>
      <c r="C117" t="s">
        <v>221</v>
      </c>
      <c r="D117" t="s">
        <v>1187</v>
      </c>
    </row>
    <row r="118" spans="1:4" x14ac:dyDescent="0.25">
      <c r="A118">
        <v>2013</v>
      </c>
      <c r="B118">
        <v>41</v>
      </c>
      <c r="C118" t="s">
        <v>259</v>
      </c>
      <c r="D118" t="s">
        <v>1188</v>
      </c>
    </row>
    <row r="119" spans="1:4" x14ac:dyDescent="0.25">
      <c r="A119">
        <v>2182</v>
      </c>
      <c r="B119">
        <v>41</v>
      </c>
      <c r="C119" t="s">
        <v>317</v>
      </c>
      <c r="D119" t="s">
        <v>1189</v>
      </c>
    </row>
    <row r="120" spans="1:4" x14ac:dyDescent="0.25">
      <c r="A120">
        <v>2005</v>
      </c>
      <c r="B120">
        <v>41</v>
      </c>
      <c r="C120" t="s">
        <v>331</v>
      </c>
      <c r="D120" t="s">
        <v>1190</v>
      </c>
    </row>
    <row r="121" spans="1:4" x14ac:dyDescent="0.25">
      <c r="A121">
        <v>2090</v>
      </c>
      <c r="B121">
        <v>41</v>
      </c>
      <c r="C121" t="s">
        <v>493</v>
      </c>
      <c r="D121" t="s">
        <v>1191</v>
      </c>
    </row>
    <row r="122" spans="1:4" x14ac:dyDescent="0.25">
      <c r="A122">
        <v>2006</v>
      </c>
      <c r="B122">
        <v>41</v>
      </c>
      <c r="C122" t="s">
        <v>649</v>
      </c>
      <c r="D122" t="s">
        <v>1192</v>
      </c>
    </row>
    <row r="123" spans="1:4" x14ac:dyDescent="0.25">
      <c r="A123">
        <v>2077</v>
      </c>
      <c r="B123">
        <v>41</v>
      </c>
      <c r="C123" t="s">
        <v>363</v>
      </c>
      <c r="D123" t="s">
        <v>1193</v>
      </c>
    </row>
    <row r="124" spans="1:4" x14ac:dyDescent="0.25">
      <c r="A124">
        <v>2042</v>
      </c>
      <c r="B124">
        <v>41</v>
      </c>
      <c r="C124" t="s">
        <v>391</v>
      </c>
      <c r="D124" t="s">
        <v>1194</v>
      </c>
    </row>
    <row r="125" spans="1:4" x14ac:dyDescent="0.25">
      <c r="A125">
        <v>2014</v>
      </c>
      <c r="B125">
        <v>41</v>
      </c>
      <c r="C125" t="s">
        <v>403</v>
      </c>
      <c r="D125" t="s">
        <v>1195</v>
      </c>
    </row>
    <row r="126" spans="1:4" x14ac:dyDescent="0.25">
      <c r="A126">
        <v>2203</v>
      </c>
      <c r="B126">
        <v>41</v>
      </c>
      <c r="C126" t="s">
        <v>279</v>
      </c>
      <c r="D126" t="s">
        <v>1196</v>
      </c>
    </row>
    <row r="127" spans="1:4" x14ac:dyDescent="0.25">
      <c r="A127">
        <v>2213</v>
      </c>
      <c r="B127">
        <v>41</v>
      </c>
      <c r="C127" t="s">
        <v>485</v>
      </c>
      <c r="D127" t="s">
        <v>1197</v>
      </c>
    </row>
    <row r="128" spans="1:4" x14ac:dyDescent="0.25">
      <c r="A128">
        <v>2084</v>
      </c>
      <c r="B128">
        <v>41</v>
      </c>
      <c r="C128" t="s">
        <v>503</v>
      </c>
      <c r="D128" t="s">
        <v>1198</v>
      </c>
    </row>
    <row r="129" spans="1:4" x14ac:dyDescent="0.25">
      <c r="A129">
        <v>2076</v>
      </c>
      <c r="B129">
        <v>41</v>
      </c>
      <c r="C129" t="s">
        <v>497</v>
      </c>
      <c r="D129" t="s">
        <v>1199</v>
      </c>
    </row>
    <row r="130" spans="1:4" x14ac:dyDescent="0.25">
      <c r="A130">
        <v>2088</v>
      </c>
      <c r="B130">
        <v>41</v>
      </c>
      <c r="C130" t="s">
        <v>525</v>
      </c>
      <c r="D130" t="s">
        <v>1200</v>
      </c>
    </row>
    <row r="131" spans="1:4" x14ac:dyDescent="0.25">
      <c r="A131">
        <v>2237</v>
      </c>
      <c r="B131">
        <v>41</v>
      </c>
      <c r="C131" t="s">
        <v>587</v>
      </c>
      <c r="D131" t="s">
        <v>1201</v>
      </c>
    </row>
    <row r="132" spans="1:4" x14ac:dyDescent="0.25">
      <c r="A132">
        <v>2259</v>
      </c>
      <c r="B132">
        <v>41</v>
      </c>
      <c r="C132" t="s">
        <v>643</v>
      </c>
      <c r="D132" t="s">
        <v>1202</v>
      </c>
    </row>
    <row r="133" spans="1:4" x14ac:dyDescent="0.25">
      <c r="A133">
        <v>2071</v>
      </c>
      <c r="B133">
        <v>41</v>
      </c>
      <c r="C133" t="s">
        <v>663</v>
      </c>
      <c r="D133" t="s">
        <v>1203</v>
      </c>
    </row>
    <row r="134" spans="1:4" x14ac:dyDescent="0.25">
      <c r="A134">
        <v>2025</v>
      </c>
      <c r="B134">
        <v>41</v>
      </c>
      <c r="C134" t="s">
        <v>543</v>
      </c>
      <c r="D134" t="s">
        <v>1204</v>
      </c>
    </row>
    <row r="135" spans="1:4" x14ac:dyDescent="0.25">
      <c r="A135">
        <v>2036</v>
      </c>
      <c r="B135">
        <v>41</v>
      </c>
      <c r="C135" t="s">
        <v>1070</v>
      </c>
      <c r="D135" t="s">
        <v>1127</v>
      </c>
    </row>
    <row r="136" spans="1:4" x14ac:dyDescent="0.25">
      <c r="A136">
        <v>2105</v>
      </c>
      <c r="B136">
        <v>41</v>
      </c>
      <c r="C136" t="s">
        <v>219</v>
      </c>
      <c r="D136" t="s">
        <v>1205</v>
      </c>
    </row>
    <row r="137" spans="1:4" x14ac:dyDescent="0.25">
      <c r="A137">
        <v>2037</v>
      </c>
      <c r="B137">
        <v>41</v>
      </c>
      <c r="C137" t="s">
        <v>229</v>
      </c>
      <c r="D137" t="s">
        <v>1206</v>
      </c>
    </row>
    <row r="138" spans="1:4" x14ac:dyDescent="0.25">
      <c r="A138">
        <v>2120</v>
      </c>
      <c r="B138">
        <v>41</v>
      </c>
      <c r="C138" t="s">
        <v>293</v>
      </c>
      <c r="D138" t="s">
        <v>1207</v>
      </c>
    </row>
    <row r="139" spans="1:4" x14ac:dyDescent="0.25">
      <c r="A139">
        <v>2179</v>
      </c>
      <c r="B139">
        <v>41</v>
      </c>
      <c r="C139" t="s">
        <v>303</v>
      </c>
      <c r="D139" t="s">
        <v>1208</v>
      </c>
    </row>
    <row r="140" spans="1:4" x14ac:dyDescent="0.25">
      <c r="A140">
        <v>2185</v>
      </c>
      <c r="B140">
        <v>41</v>
      </c>
      <c r="C140" t="s">
        <v>323</v>
      </c>
      <c r="D140" t="s">
        <v>1209</v>
      </c>
    </row>
    <row r="141" spans="1:4" x14ac:dyDescent="0.25">
      <c r="A141">
        <v>2067</v>
      </c>
      <c r="B141">
        <v>41</v>
      </c>
      <c r="C141" t="s">
        <v>387</v>
      </c>
      <c r="D141" t="s">
        <v>1210</v>
      </c>
    </row>
    <row r="142" spans="1:4" x14ac:dyDescent="0.25">
      <c r="A142">
        <v>2044</v>
      </c>
      <c r="B142">
        <v>41</v>
      </c>
      <c r="C142" t="s">
        <v>407</v>
      </c>
      <c r="D142" t="s">
        <v>1211</v>
      </c>
    </row>
    <row r="143" spans="1:4" x14ac:dyDescent="0.25">
      <c r="A143">
        <v>2135</v>
      </c>
      <c r="B143">
        <v>41</v>
      </c>
      <c r="C143" t="s">
        <v>425</v>
      </c>
      <c r="D143" t="s">
        <v>1212</v>
      </c>
    </row>
    <row r="144" spans="1:4" x14ac:dyDescent="0.25">
      <c r="A144">
        <v>2011</v>
      </c>
      <c r="B144">
        <v>41</v>
      </c>
      <c r="C144" t="s">
        <v>609</v>
      </c>
      <c r="D144" t="s">
        <v>1213</v>
      </c>
    </row>
    <row r="145" spans="1:4" x14ac:dyDescent="0.25">
      <c r="A145">
        <v>2239</v>
      </c>
      <c r="B145">
        <v>41</v>
      </c>
      <c r="C145" t="s">
        <v>551</v>
      </c>
      <c r="D145" t="s">
        <v>1214</v>
      </c>
    </row>
    <row r="146" spans="1:4" x14ac:dyDescent="0.25">
      <c r="A146">
        <v>2141</v>
      </c>
      <c r="B146">
        <v>41</v>
      </c>
      <c r="C146" t="s">
        <v>577</v>
      </c>
      <c r="D146" t="s">
        <v>1215</v>
      </c>
    </row>
    <row r="147" spans="1:4" x14ac:dyDescent="0.25">
      <c r="A147">
        <v>2055</v>
      </c>
      <c r="B147">
        <v>41</v>
      </c>
      <c r="C147" t="s">
        <v>633</v>
      </c>
      <c r="D147" t="s">
        <v>1216</v>
      </c>
    </row>
    <row r="148" spans="1:4" x14ac:dyDescent="0.25">
      <c r="A148">
        <v>2229</v>
      </c>
      <c r="B148">
        <v>41</v>
      </c>
      <c r="C148" t="s">
        <v>335</v>
      </c>
      <c r="D148" t="s">
        <v>1217</v>
      </c>
    </row>
    <row r="149" spans="1:4" x14ac:dyDescent="0.25">
      <c r="A149">
        <v>2058</v>
      </c>
      <c r="B149">
        <v>41</v>
      </c>
      <c r="C149" t="s">
        <v>591</v>
      </c>
      <c r="D149" t="s">
        <v>1218</v>
      </c>
    </row>
    <row r="150" spans="1:4" x14ac:dyDescent="0.25">
      <c r="A150">
        <v>2091</v>
      </c>
      <c r="B150">
        <v>41</v>
      </c>
      <c r="C150" t="s">
        <v>635</v>
      </c>
      <c r="D150" t="s">
        <v>1219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01"/>
  <sheetViews>
    <sheetView topLeftCell="A19" workbookViewId="0">
      <selection activeCell="G56" sqref="G56"/>
    </sheetView>
  </sheetViews>
  <sheetFormatPr defaultRowHeight="15" x14ac:dyDescent="0.25"/>
  <sheetData>
    <row r="1" spans="1:4" x14ac:dyDescent="0.25">
      <c r="A1" t="s">
        <v>1035</v>
      </c>
      <c r="B1" t="s">
        <v>1036</v>
      </c>
      <c r="C1" t="s">
        <v>1037</v>
      </c>
      <c r="D1" t="s">
        <v>1038</v>
      </c>
    </row>
    <row r="2" spans="1:4" x14ac:dyDescent="0.25">
      <c r="A2" t="s">
        <v>181</v>
      </c>
      <c r="B2" t="s">
        <v>182</v>
      </c>
      <c r="C2" t="s">
        <v>1</v>
      </c>
      <c r="D2" t="s">
        <v>685</v>
      </c>
    </row>
    <row r="3" spans="1:4" x14ac:dyDescent="0.25">
      <c r="A3" t="s">
        <v>183</v>
      </c>
      <c r="B3" t="s">
        <v>184</v>
      </c>
      <c r="C3" t="s">
        <v>48</v>
      </c>
      <c r="D3" t="s">
        <v>774</v>
      </c>
    </row>
    <row r="4" spans="1:4" x14ac:dyDescent="0.25">
      <c r="A4" t="s">
        <v>189</v>
      </c>
      <c r="B4" t="s">
        <v>190</v>
      </c>
      <c r="C4" t="s">
        <v>150</v>
      </c>
      <c r="D4" t="s">
        <v>976</v>
      </c>
    </row>
    <row r="5" spans="1:4" x14ac:dyDescent="0.25">
      <c r="A5" t="s">
        <v>191</v>
      </c>
      <c r="B5" t="s">
        <v>192</v>
      </c>
      <c r="C5" t="s">
        <v>48</v>
      </c>
      <c r="D5" t="s">
        <v>774</v>
      </c>
    </row>
    <row r="6" spans="1:4" x14ac:dyDescent="0.25">
      <c r="A6" t="s">
        <v>193</v>
      </c>
      <c r="B6" t="s">
        <v>194</v>
      </c>
      <c r="C6" t="s">
        <v>5</v>
      </c>
      <c r="D6" t="s">
        <v>693</v>
      </c>
    </row>
    <row r="7" spans="1:4" x14ac:dyDescent="0.25">
      <c r="A7" t="s">
        <v>197</v>
      </c>
      <c r="B7" t="s">
        <v>198</v>
      </c>
    </row>
    <row r="8" spans="1:4" x14ac:dyDescent="0.25">
      <c r="A8" t="s">
        <v>211</v>
      </c>
      <c r="B8" t="s">
        <v>212</v>
      </c>
      <c r="C8" t="s">
        <v>9</v>
      </c>
      <c r="D8" t="s">
        <v>701</v>
      </c>
    </row>
    <row r="9" spans="1:4" x14ac:dyDescent="0.25">
      <c r="A9" t="s">
        <v>227</v>
      </c>
      <c r="B9" t="s">
        <v>228</v>
      </c>
      <c r="C9" t="s">
        <v>170</v>
      </c>
      <c r="D9" t="s">
        <v>1013</v>
      </c>
    </row>
    <row r="10" spans="1:4" x14ac:dyDescent="0.25">
      <c r="A10" t="s">
        <v>231</v>
      </c>
      <c r="B10" t="s">
        <v>232</v>
      </c>
      <c r="C10" t="s">
        <v>66</v>
      </c>
      <c r="D10" t="s">
        <v>809</v>
      </c>
    </row>
    <row r="11" spans="1:4" x14ac:dyDescent="0.25">
      <c r="A11" t="s">
        <v>233</v>
      </c>
      <c r="B11" t="s">
        <v>234</v>
      </c>
      <c r="C11" t="s">
        <v>19</v>
      </c>
      <c r="D11" t="s">
        <v>721</v>
      </c>
    </row>
    <row r="12" spans="1:4" x14ac:dyDescent="0.25">
      <c r="A12" t="s">
        <v>235</v>
      </c>
      <c r="B12" t="s">
        <v>236</v>
      </c>
    </row>
    <row r="13" spans="1:4" x14ac:dyDescent="0.25">
      <c r="A13" t="s">
        <v>241</v>
      </c>
      <c r="B13" t="s">
        <v>242</v>
      </c>
      <c r="C13" t="s">
        <v>108</v>
      </c>
      <c r="D13" t="s">
        <v>892</v>
      </c>
    </row>
    <row r="14" spans="1:4" x14ac:dyDescent="0.25">
      <c r="A14" t="s">
        <v>251</v>
      </c>
      <c r="B14" t="s">
        <v>252</v>
      </c>
      <c r="C14" t="s">
        <v>170</v>
      </c>
      <c r="D14" t="s">
        <v>1013</v>
      </c>
    </row>
    <row r="15" spans="1:4" x14ac:dyDescent="0.25">
      <c r="A15" t="s">
        <v>267</v>
      </c>
      <c r="B15" t="s">
        <v>268</v>
      </c>
      <c r="C15" t="s">
        <v>160</v>
      </c>
      <c r="D15" t="s">
        <v>993</v>
      </c>
    </row>
    <row r="16" spans="1:4" x14ac:dyDescent="0.25">
      <c r="A16" t="s">
        <v>273</v>
      </c>
      <c r="B16" t="s">
        <v>274</v>
      </c>
      <c r="C16" t="s">
        <v>7</v>
      </c>
      <c r="D16" t="s">
        <v>697</v>
      </c>
    </row>
    <row r="17" spans="1:4" x14ac:dyDescent="0.25">
      <c r="A17" t="s">
        <v>275</v>
      </c>
      <c r="B17" t="s">
        <v>276</v>
      </c>
      <c r="C17" t="s">
        <v>7</v>
      </c>
      <c r="D17" t="s">
        <v>697</v>
      </c>
    </row>
    <row r="18" spans="1:4" x14ac:dyDescent="0.25">
      <c r="A18" t="s">
        <v>277</v>
      </c>
      <c r="B18" t="s">
        <v>278</v>
      </c>
      <c r="C18" t="s">
        <v>35</v>
      </c>
      <c r="D18" t="s">
        <v>750</v>
      </c>
    </row>
    <row r="19" spans="1:4" x14ac:dyDescent="0.25">
      <c r="A19" t="s">
        <v>281</v>
      </c>
      <c r="B19" t="s">
        <v>282</v>
      </c>
      <c r="C19" t="s">
        <v>160</v>
      </c>
      <c r="D19" t="s">
        <v>993</v>
      </c>
    </row>
    <row r="20" spans="1:4" x14ac:dyDescent="0.25">
      <c r="A20" t="s">
        <v>283</v>
      </c>
      <c r="B20" t="s">
        <v>284</v>
      </c>
    </row>
    <row r="21" spans="1:4" x14ac:dyDescent="0.25">
      <c r="A21" t="s">
        <v>285</v>
      </c>
      <c r="B21" t="s">
        <v>286</v>
      </c>
      <c r="C21" t="s">
        <v>110</v>
      </c>
      <c r="D21" t="s">
        <v>896</v>
      </c>
    </row>
    <row r="22" spans="1:4" x14ac:dyDescent="0.25">
      <c r="A22" t="s">
        <v>295</v>
      </c>
      <c r="B22" t="s">
        <v>296</v>
      </c>
      <c r="C22" t="s">
        <v>4</v>
      </c>
      <c r="D22" t="s">
        <v>691</v>
      </c>
    </row>
    <row r="23" spans="1:4" x14ac:dyDescent="0.25">
      <c r="A23" t="s">
        <v>297</v>
      </c>
      <c r="B23" t="s">
        <v>298</v>
      </c>
      <c r="C23" t="s">
        <v>48</v>
      </c>
      <c r="D23" t="s">
        <v>774</v>
      </c>
    </row>
    <row r="24" spans="1:4" x14ac:dyDescent="0.25">
      <c r="A24" t="s">
        <v>305</v>
      </c>
      <c r="B24" t="s">
        <v>306</v>
      </c>
      <c r="C24" t="s">
        <v>167</v>
      </c>
      <c r="D24" t="s">
        <v>1007</v>
      </c>
    </row>
    <row r="25" spans="1:4" x14ac:dyDescent="0.25">
      <c r="A25" t="s">
        <v>313</v>
      </c>
      <c r="B25" t="s">
        <v>314</v>
      </c>
      <c r="C25" t="s">
        <v>150</v>
      </c>
      <c r="D25" t="s">
        <v>976</v>
      </c>
    </row>
    <row r="26" spans="1:4" x14ac:dyDescent="0.25">
      <c r="A26" t="s">
        <v>319</v>
      </c>
      <c r="B26" t="s">
        <v>320</v>
      </c>
      <c r="C26" t="s">
        <v>48</v>
      </c>
      <c r="D26" t="s">
        <v>774</v>
      </c>
    </row>
    <row r="27" spans="1:4" x14ac:dyDescent="0.25">
      <c r="A27" t="s">
        <v>325</v>
      </c>
      <c r="B27" t="s">
        <v>326</v>
      </c>
      <c r="C27" t="s">
        <v>42</v>
      </c>
      <c r="D27" t="s">
        <v>762</v>
      </c>
    </row>
    <row r="28" spans="1:4" x14ac:dyDescent="0.25">
      <c r="A28" t="s">
        <v>333</v>
      </c>
      <c r="B28" t="s">
        <v>334</v>
      </c>
      <c r="C28" t="s">
        <v>48</v>
      </c>
      <c r="D28" t="s">
        <v>774</v>
      </c>
    </row>
    <row r="29" spans="1:4" x14ac:dyDescent="0.25">
      <c r="A29" t="s">
        <v>337</v>
      </c>
      <c r="B29" t="s">
        <v>338</v>
      </c>
      <c r="C29" t="s">
        <v>48</v>
      </c>
      <c r="D29" t="s">
        <v>774</v>
      </c>
    </row>
    <row r="30" spans="1:4" x14ac:dyDescent="0.25">
      <c r="A30" t="s">
        <v>347</v>
      </c>
      <c r="B30" t="s">
        <v>348</v>
      </c>
      <c r="C30" t="s">
        <v>53</v>
      </c>
      <c r="D30" t="s">
        <v>783</v>
      </c>
    </row>
    <row r="31" spans="1:4" x14ac:dyDescent="0.25">
      <c r="A31" t="s">
        <v>353</v>
      </c>
      <c r="B31" t="s">
        <v>354</v>
      </c>
      <c r="C31" t="s">
        <v>42</v>
      </c>
      <c r="D31" t="s">
        <v>762</v>
      </c>
    </row>
    <row r="32" spans="1:4" x14ac:dyDescent="0.25">
      <c r="A32" t="s">
        <v>357</v>
      </c>
      <c r="B32" t="s">
        <v>358</v>
      </c>
      <c r="C32" t="s">
        <v>48</v>
      </c>
      <c r="D32" t="s">
        <v>774</v>
      </c>
    </row>
    <row r="33" spans="1:4" x14ac:dyDescent="0.25">
      <c r="A33" t="s">
        <v>359</v>
      </c>
      <c r="B33" t="s">
        <v>360</v>
      </c>
      <c r="C33" t="s">
        <v>150</v>
      </c>
      <c r="D33" t="s">
        <v>976</v>
      </c>
    </row>
    <row r="34" spans="1:4" x14ac:dyDescent="0.25">
      <c r="A34" t="s">
        <v>371</v>
      </c>
      <c r="B34" t="s">
        <v>372</v>
      </c>
      <c r="C34" t="s">
        <v>150</v>
      </c>
      <c r="D34" t="s">
        <v>976</v>
      </c>
    </row>
    <row r="35" spans="1:4" x14ac:dyDescent="0.25">
      <c r="A35" t="s">
        <v>373</v>
      </c>
      <c r="B35" t="s">
        <v>374</v>
      </c>
    </row>
    <row r="36" spans="1:4" x14ac:dyDescent="0.25">
      <c r="A36" t="s">
        <v>375</v>
      </c>
      <c r="B36" t="s">
        <v>376</v>
      </c>
      <c r="C36" t="s">
        <v>48</v>
      </c>
      <c r="D36" t="s">
        <v>774</v>
      </c>
    </row>
    <row r="37" spans="1:4" x14ac:dyDescent="0.25">
      <c r="A37" t="s">
        <v>413</v>
      </c>
      <c r="B37" t="s">
        <v>414</v>
      </c>
      <c r="C37" t="s">
        <v>7</v>
      </c>
      <c r="D37" t="s">
        <v>697</v>
      </c>
    </row>
    <row r="38" spans="1:4" x14ac:dyDescent="0.25">
      <c r="A38" t="s">
        <v>415</v>
      </c>
      <c r="B38" t="s">
        <v>416</v>
      </c>
    </row>
    <row r="39" spans="1:4" x14ac:dyDescent="0.25">
      <c r="A39" t="s">
        <v>423</v>
      </c>
      <c r="B39" t="s">
        <v>424</v>
      </c>
    </row>
    <row r="40" spans="1:4" x14ac:dyDescent="0.25">
      <c r="A40" t="s">
        <v>429</v>
      </c>
      <c r="B40" t="s">
        <v>430</v>
      </c>
      <c r="C40" t="s">
        <v>178</v>
      </c>
      <c r="D40" t="s">
        <v>1029</v>
      </c>
    </row>
    <row r="41" spans="1:4" x14ac:dyDescent="0.25">
      <c r="A41" t="s">
        <v>445</v>
      </c>
      <c r="B41" t="s">
        <v>446</v>
      </c>
      <c r="C41" t="s">
        <v>92</v>
      </c>
      <c r="D41" t="s">
        <v>861</v>
      </c>
    </row>
    <row r="42" spans="1:4" x14ac:dyDescent="0.25">
      <c r="A42" t="s">
        <v>453</v>
      </c>
      <c r="B42" t="s">
        <v>454</v>
      </c>
      <c r="C42" t="s">
        <v>170</v>
      </c>
      <c r="D42" t="s">
        <v>1013</v>
      </c>
    </row>
    <row r="43" spans="1:4" x14ac:dyDescent="0.25">
      <c r="A43" t="s">
        <v>455</v>
      </c>
      <c r="B43" t="s">
        <v>456</v>
      </c>
      <c r="C43" t="s">
        <v>48</v>
      </c>
      <c r="D43" t="s">
        <v>774</v>
      </c>
    </row>
    <row r="44" spans="1:4" x14ac:dyDescent="0.25">
      <c r="A44" t="s">
        <v>457</v>
      </c>
      <c r="B44" t="s">
        <v>458</v>
      </c>
      <c r="C44" t="s">
        <v>150</v>
      </c>
      <c r="D44" t="s">
        <v>976</v>
      </c>
    </row>
    <row r="45" spans="1:4" x14ac:dyDescent="0.25">
      <c r="A45" t="s">
        <v>459</v>
      </c>
      <c r="B45" t="s">
        <v>460</v>
      </c>
      <c r="C45" t="s">
        <v>48</v>
      </c>
      <c r="D45" t="s">
        <v>774</v>
      </c>
    </row>
    <row r="46" spans="1:4" x14ac:dyDescent="0.25">
      <c r="A46" t="s">
        <v>465</v>
      </c>
      <c r="B46" t="s">
        <v>466</v>
      </c>
      <c r="C46" t="s">
        <v>48</v>
      </c>
      <c r="D46" t="s">
        <v>774</v>
      </c>
    </row>
    <row r="47" spans="1:4" x14ac:dyDescent="0.25">
      <c r="A47" t="s">
        <v>467</v>
      </c>
      <c r="B47" t="s">
        <v>468</v>
      </c>
      <c r="C47" t="s">
        <v>102</v>
      </c>
      <c r="D47" t="s">
        <v>881</v>
      </c>
    </row>
    <row r="48" spans="1:4" x14ac:dyDescent="0.25">
      <c r="A48" t="s">
        <v>469</v>
      </c>
      <c r="B48" t="s">
        <v>470</v>
      </c>
      <c r="C48" t="s">
        <v>150</v>
      </c>
      <c r="D48" t="s">
        <v>976</v>
      </c>
    </row>
    <row r="49" spans="1:4" x14ac:dyDescent="0.25">
      <c r="A49" t="s">
        <v>473</v>
      </c>
      <c r="B49" t="s">
        <v>474</v>
      </c>
      <c r="C49" t="s">
        <v>48</v>
      </c>
      <c r="D49" t="s">
        <v>774</v>
      </c>
    </row>
    <row r="50" spans="1:4" x14ac:dyDescent="0.25">
      <c r="A50" t="s">
        <v>483</v>
      </c>
      <c r="B50" t="s">
        <v>484</v>
      </c>
      <c r="C50" t="s">
        <v>104</v>
      </c>
      <c r="D50" t="s">
        <v>884</v>
      </c>
    </row>
    <row r="51" spans="1:4" x14ac:dyDescent="0.25">
      <c r="A51" t="s">
        <v>487</v>
      </c>
      <c r="B51" t="s">
        <v>488</v>
      </c>
      <c r="C51" t="s">
        <v>178</v>
      </c>
      <c r="D51" t="s">
        <v>1029</v>
      </c>
    </row>
    <row r="52" spans="1:4" x14ac:dyDescent="0.25">
      <c r="A52" t="s">
        <v>489</v>
      </c>
      <c r="B52" t="s">
        <v>490</v>
      </c>
      <c r="C52" t="s">
        <v>7</v>
      </c>
      <c r="D52" t="s">
        <v>697</v>
      </c>
    </row>
    <row r="53" spans="1:4" x14ac:dyDescent="0.25">
      <c r="A53" t="s">
        <v>505</v>
      </c>
      <c r="B53" t="s">
        <v>506</v>
      </c>
      <c r="C53" t="s">
        <v>110</v>
      </c>
      <c r="D53" t="s">
        <v>896</v>
      </c>
    </row>
    <row r="54" spans="1:4" x14ac:dyDescent="0.25">
      <c r="A54" t="s">
        <v>507</v>
      </c>
      <c r="B54" t="s">
        <v>508</v>
      </c>
      <c r="C54" t="s">
        <v>7</v>
      </c>
      <c r="D54" t="s">
        <v>697</v>
      </c>
    </row>
    <row r="55" spans="1:4" x14ac:dyDescent="0.25">
      <c r="A55" t="s">
        <v>519</v>
      </c>
      <c r="B55" t="s">
        <v>520</v>
      </c>
    </row>
    <row r="56" spans="1:4" x14ac:dyDescent="0.25">
      <c r="A56" t="s">
        <v>521</v>
      </c>
      <c r="B56" t="s">
        <v>522</v>
      </c>
      <c r="C56" t="s">
        <v>150</v>
      </c>
      <c r="D56" t="s">
        <v>976</v>
      </c>
    </row>
    <row r="57" spans="1:4" x14ac:dyDescent="0.25">
      <c r="A57" t="s">
        <v>531</v>
      </c>
      <c r="B57" t="s">
        <v>532</v>
      </c>
      <c r="C57" t="s">
        <v>110</v>
      </c>
      <c r="D57" t="s">
        <v>896</v>
      </c>
    </row>
    <row r="58" spans="1:4" x14ac:dyDescent="0.25">
      <c r="A58" t="s">
        <v>537</v>
      </c>
      <c r="B58" t="s">
        <v>538</v>
      </c>
      <c r="C58" t="s">
        <v>150</v>
      </c>
      <c r="D58" t="s">
        <v>976</v>
      </c>
    </row>
    <row r="59" spans="1:4" x14ac:dyDescent="0.25">
      <c r="A59" t="s">
        <v>541</v>
      </c>
      <c r="B59" t="s">
        <v>542</v>
      </c>
      <c r="C59" t="s">
        <v>48</v>
      </c>
      <c r="D59" t="s">
        <v>774</v>
      </c>
    </row>
    <row r="60" spans="1:4" x14ac:dyDescent="0.25">
      <c r="A60" t="s">
        <v>549</v>
      </c>
      <c r="B60" t="s">
        <v>550</v>
      </c>
      <c r="C60" t="s">
        <v>48</v>
      </c>
      <c r="D60" t="s">
        <v>774</v>
      </c>
    </row>
    <row r="61" spans="1:4" x14ac:dyDescent="0.25">
      <c r="A61" t="s">
        <v>555</v>
      </c>
      <c r="B61" t="s">
        <v>556</v>
      </c>
      <c r="C61" t="s">
        <v>167</v>
      </c>
      <c r="D61" t="s">
        <v>1007</v>
      </c>
    </row>
    <row r="62" spans="1:4" x14ac:dyDescent="0.25">
      <c r="A62" t="s">
        <v>557</v>
      </c>
      <c r="B62" t="s">
        <v>558</v>
      </c>
      <c r="C62" t="s">
        <v>48</v>
      </c>
      <c r="D62" t="s">
        <v>774</v>
      </c>
    </row>
    <row r="63" spans="1:4" x14ac:dyDescent="0.25">
      <c r="A63" t="s">
        <v>559</v>
      </c>
      <c r="B63" t="s">
        <v>560</v>
      </c>
      <c r="C63" t="s">
        <v>48</v>
      </c>
      <c r="D63" t="s">
        <v>774</v>
      </c>
    </row>
    <row r="64" spans="1:4" x14ac:dyDescent="0.25">
      <c r="A64" t="s">
        <v>565</v>
      </c>
      <c r="B64" t="s">
        <v>566</v>
      </c>
      <c r="C64" t="s">
        <v>48</v>
      </c>
      <c r="D64" t="s">
        <v>774</v>
      </c>
    </row>
    <row r="65" spans="1:4" x14ac:dyDescent="0.25">
      <c r="A65" t="s">
        <v>581</v>
      </c>
      <c r="B65" t="s">
        <v>582</v>
      </c>
      <c r="C65" t="s">
        <v>4</v>
      </c>
      <c r="D65" t="s">
        <v>691</v>
      </c>
    </row>
    <row r="66" spans="1:4" x14ac:dyDescent="0.25">
      <c r="A66" t="s">
        <v>583</v>
      </c>
      <c r="B66" t="s">
        <v>584</v>
      </c>
      <c r="C66" t="s">
        <v>48</v>
      </c>
      <c r="D66" t="s">
        <v>774</v>
      </c>
    </row>
    <row r="67" spans="1:4" x14ac:dyDescent="0.25">
      <c r="A67" t="s">
        <v>593</v>
      </c>
      <c r="B67" t="s">
        <v>594</v>
      </c>
    </row>
    <row r="68" spans="1:4" x14ac:dyDescent="0.25">
      <c r="A68" t="s">
        <v>595</v>
      </c>
      <c r="B68" t="s">
        <v>596</v>
      </c>
      <c r="C68" t="s">
        <v>134</v>
      </c>
      <c r="D68" t="s">
        <v>944</v>
      </c>
    </row>
    <row r="69" spans="1:4" x14ac:dyDescent="0.25">
      <c r="A69" t="s">
        <v>601</v>
      </c>
      <c r="B69" t="s">
        <v>602</v>
      </c>
      <c r="C69" t="s">
        <v>127</v>
      </c>
      <c r="D69" t="s">
        <v>930</v>
      </c>
    </row>
    <row r="70" spans="1:4" x14ac:dyDescent="0.25">
      <c r="A70" t="s">
        <v>603</v>
      </c>
      <c r="B70" t="s">
        <v>604</v>
      </c>
      <c r="C70" t="s">
        <v>133</v>
      </c>
      <c r="D70" t="s">
        <v>942</v>
      </c>
    </row>
    <row r="71" spans="1:4" x14ac:dyDescent="0.25">
      <c r="A71" t="s">
        <v>605</v>
      </c>
      <c r="B71" t="s">
        <v>606</v>
      </c>
      <c r="C71" t="s">
        <v>108</v>
      </c>
      <c r="D71" t="s">
        <v>892</v>
      </c>
    </row>
    <row r="72" spans="1:4" x14ac:dyDescent="0.25">
      <c r="A72" t="s">
        <v>627</v>
      </c>
      <c r="B72" t="s">
        <v>628</v>
      </c>
      <c r="C72" t="s">
        <v>110</v>
      </c>
      <c r="D72" t="s">
        <v>896</v>
      </c>
    </row>
    <row r="73" spans="1:4" x14ac:dyDescent="0.25">
      <c r="A73" t="s">
        <v>639</v>
      </c>
      <c r="B73" t="s">
        <v>640</v>
      </c>
    </row>
    <row r="74" spans="1:4" x14ac:dyDescent="0.25">
      <c r="A74" t="s">
        <v>641</v>
      </c>
      <c r="B74" t="s">
        <v>642</v>
      </c>
      <c r="C74" t="s">
        <v>7</v>
      </c>
      <c r="D74" t="s">
        <v>697</v>
      </c>
    </row>
    <row r="75" spans="1:4" x14ac:dyDescent="0.25">
      <c r="A75" t="s">
        <v>661</v>
      </c>
      <c r="B75" t="s">
        <v>662</v>
      </c>
      <c r="C75" t="s">
        <v>156</v>
      </c>
      <c r="D75" t="s">
        <v>985</v>
      </c>
    </row>
    <row r="76" spans="1:4" x14ac:dyDescent="0.25">
      <c r="A76" t="s">
        <v>665</v>
      </c>
      <c r="B76" t="s">
        <v>666</v>
      </c>
    </row>
    <row r="77" spans="1:4" x14ac:dyDescent="0.25">
      <c r="A77" t="s">
        <v>667</v>
      </c>
      <c r="B77" t="s">
        <v>668</v>
      </c>
    </row>
    <row r="78" spans="1:4" x14ac:dyDescent="0.25">
      <c r="A78" t="s">
        <v>671</v>
      </c>
      <c r="B78" t="s">
        <v>672</v>
      </c>
      <c r="C78" t="s">
        <v>90</v>
      </c>
      <c r="D78" t="s">
        <v>857</v>
      </c>
    </row>
    <row r="79" spans="1:4" x14ac:dyDescent="0.25">
      <c r="A79" t="s">
        <v>675</v>
      </c>
      <c r="B79" t="s">
        <v>676</v>
      </c>
      <c r="C79" t="s">
        <v>179</v>
      </c>
      <c r="D79" t="s">
        <v>1031</v>
      </c>
    </row>
    <row r="80" spans="1:4" x14ac:dyDescent="0.25">
      <c r="A80" t="s">
        <v>245</v>
      </c>
      <c r="B80" t="s">
        <v>246</v>
      </c>
      <c r="C80" t="s">
        <v>150</v>
      </c>
      <c r="D80" t="s">
        <v>976</v>
      </c>
    </row>
    <row r="81" spans="1:4" x14ac:dyDescent="0.25">
      <c r="A81" t="s">
        <v>309</v>
      </c>
      <c r="B81" t="s">
        <v>310</v>
      </c>
      <c r="C81" t="s">
        <v>150</v>
      </c>
      <c r="D81" t="s">
        <v>976</v>
      </c>
    </row>
    <row r="82" spans="1:4" x14ac:dyDescent="0.25">
      <c r="A82" t="s">
        <v>509</v>
      </c>
      <c r="B82" t="s">
        <v>510</v>
      </c>
      <c r="C82" t="s">
        <v>150</v>
      </c>
      <c r="D82" t="s">
        <v>976</v>
      </c>
    </row>
    <row r="83" spans="1:4" x14ac:dyDescent="0.25">
      <c r="A83" t="s">
        <v>517</v>
      </c>
      <c r="B83" t="s">
        <v>518</v>
      </c>
      <c r="C83" t="s">
        <v>150</v>
      </c>
      <c r="D83" t="s">
        <v>976</v>
      </c>
    </row>
    <row r="84" spans="1:4" x14ac:dyDescent="0.25">
      <c r="A84" t="s">
        <v>623</v>
      </c>
      <c r="B84" t="s">
        <v>624</v>
      </c>
      <c r="C84" t="s">
        <v>150</v>
      </c>
      <c r="D84" t="s">
        <v>976</v>
      </c>
    </row>
    <row r="85" spans="1:4" x14ac:dyDescent="0.25">
      <c r="A85" t="s">
        <v>257</v>
      </c>
      <c r="B85" t="s">
        <v>258</v>
      </c>
      <c r="C85" t="s">
        <v>160</v>
      </c>
      <c r="D85" t="s">
        <v>993</v>
      </c>
    </row>
    <row r="86" spans="1:4" x14ac:dyDescent="0.25">
      <c r="A86" t="s">
        <v>265</v>
      </c>
      <c r="B86" t="s">
        <v>266</v>
      </c>
      <c r="C86" t="s">
        <v>160</v>
      </c>
      <c r="D86" t="s">
        <v>993</v>
      </c>
    </row>
    <row r="87" spans="1:4" x14ac:dyDescent="0.25">
      <c r="A87" t="s">
        <v>315</v>
      </c>
      <c r="B87" t="s">
        <v>316</v>
      </c>
      <c r="C87" t="s">
        <v>160</v>
      </c>
      <c r="D87" t="s">
        <v>993</v>
      </c>
    </row>
    <row r="88" spans="1:4" x14ac:dyDescent="0.25">
      <c r="A88" t="s">
        <v>339</v>
      </c>
      <c r="B88" t="s">
        <v>340</v>
      </c>
      <c r="C88" t="s">
        <v>160</v>
      </c>
      <c r="D88" t="s">
        <v>993</v>
      </c>
    </row>
    <row r="89" spans="1:4" x14ac:dyDescent="0.25">
      <c r="A89" t="s">
        <v>195</v>
      </c>
      <c r="B89" t="s">
        <v>196</v>
      </c>
      <c r="C89" t="s">
        <v>167</v>
      </c>
      <c r="D89" t="s">
        <v>1007</v>
      </c>
    </row>
    <row r="90" spans="1:4" x14ac:dyDescent="0.25">
      <c r="A90" t="s">
        <v>199</v>
      </c>
      <c r="B90" t="s">
        <v>200</v>
      </c>
      <c r="C90" t="s">
        <v>167</v>
      </c>
      <c r="D90" t="s">
        <v>1007</v>
      </c>
    </row>
    <row r="91" spans="1:4" x14ac:dyDescent="0.25">
      <c r="A91" t="s">
        <v>355</v>
      </c>
      <c r="B91" t="s">
        <v>356</v>
      </c>
      <c r="C91" t="s">
        <v>167</v>
      </c>
      <c r="D91" t="s">
        <v>1007</v>
      </c>
    </row>
    <row r="92" spans="1:4" x14ac:dyDescent="0.25">
      <c r="A92" t="s">
        <v>479</v>
      </c>
      <c r="B92" t="s">
        <v>480</v>
      </c>
      <c r="C92" t="s">
        <v>167</v>
      </c>
      <c r="D92" t="s">
        <v>1007</v>
      </c>
    </row>
    <row r="93" spans="1:4" x14ac:dyDescent="0.25">
      <c r="A93" t="s">
        <v>553</v>
      </c>
      <c r="B93" t="s">
        <v>554</v>
      </c>
      <c r="C93" t="s">
        <v>167</v>
      </c>
      <c r="D93" t="s">
        <v>1007</v>
      </c>
    </row>
    <row r="94" spans="1:4" x14ac:dyDescent="0.25">
      <c r="A94" t="s">
        <v>561</v>
      </c>
      <c r="B94" t="s">
        <v>562</v>
      </c>
      <c r="C94" t="s">
        <v>167</v>
      </c>
      <c r="D94" t="s">
        <v>1007</v>
      </c>
    </row>
    <row r="95" spans="1:4" x14ac:dyDescent="0.25">
      <c r="A95" t="s">
        <v>289</v>
      </c>
      <c r="B95" t="s">
        <v>290</v>
      </c>
      <c r="C95" t="s">
        <v>170</v>
      </c>
      <c r="D95" t="s">
        <v>1013</v>
      </c>
    </row>
    <row r="96" spans="1:4" x14ac:dyDescent="0.25">
      <c r="A96" t="s">
        <v>367</v>
      </c>
      <c r="B96" t="s">
        <v>368</v>
      </c>
      <c r="C96" t="s">
        <v>170</v>
      </c>
      <c r="D96" t="s">
        <v>1013</v>
      </c>
    </row>
    <row r="97" spans="1:4" x14ac:dyDescent="0.25">
      <c r="A97" t="s">
        <v>501</v>
      </c>
      <c r="B97" t="s">
        <v>502</v>
      </c>
      <c r="C97" t="s">
        <v>170</v>
      </c>
      <c r="D97" t="s">
        <v>1013</v>
      </c>
    </row>
    <row r="98" spans="1:4" x14ac:dyDescent="0.25">
      <c r="A98" t="s">
        <v>571</v>
      </c>
      <c r="B98" t="s">
        <v>572</v>
      </c>
      <c r="C98" t="s">
        <v>170</v>
      </c>
      <c r="D98" t="s">
        <v>1013</v>
      </c>
    </row>
    <row r="99" spans="1:4" x14ac:dyDescent="0.25">
      <c r="A99" t="s">
        <v>625</v>
      </c>
      <c r="B99" t="s">
        <v>626</v>
      </c>
      <c r="C99" t="s">
        <v>170</v>
      </c>
      <c r="D99" t="s">
        <v>1013</v>
      </c>
    </row>
    <row r="100" spans="1:4" x14ac:dyDescent="0.25">
      <c r="A100" t="s">
        <v>495</v>
      </c>
      <c r="B100" t="s">
        <v>496</v>
      </c>
      <c r="C100" t="s">
        <v>172</v>
      </c>
      <c r="D100" t="s">
        <v>1017</v>
      </c>
    </row>
    <row r="101" spans="1:4" x14ac:dyDescent="0.25">
      <c r="A101" t="s">
        <v>669</v>
      </c>
      <c r="B101" t="s">
        <v>670</v>
      </c>
      <c r="C101" t="s">
        <v>172</v>
      </c>
      <c r="D101" t="s">
        <v>1017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7"/>
  <sheetViews>
    <sheetView workbookViewId="0">
      <selection activeCell="E18" sqref="E18"/>
    </sheetView>
  </sheetViews>
  <sheetFormatPr defaultRowHeight="15" x14ac:dyDescent="0.25"/>
  <cols>
    <col min="1" max="1" width="14.140625" bestFit="1" customWidth="1"/>
    <col min="2" max="2" width="16.140625" bestFit="1" customWidth="1"/>
  </cols>
  <sheetData>
    <row r="1" spans="1:2" x14ac:dyDescent="0.25">
      <c r="A1" s="21" t="s">
        <v>1061</v>
      </c>
      <c r="B1" s="22" t="s">
        <v>1062</v>
      </c>
    </row>
    <row r="2" spans="1:2" x14ac:dyDescent="0.25">
      <c r="A2" s="21" t="s">
        <v>1063</v>
      </c>
      <c r="B2" s="21" t="s">
        <v>1066</v>
      </c>
    </row>
    <row r="3" spans="1:2" x14ac:dyDescent="0.25">
      <c r="A3" s="15" t="s">
        <v>1064</v>
      </c>
      <c r="B3" s="16" t="s">
        <v>1065</v>
      </c>
    </row>
    <row r="4" spans="1:2" x14ac:dyDescent="0.25">
      <c r="A4" s="15" t="s">
        <v>1054</v>
      </c>
      <c r="B4" s="16" t="s">
        <v>1060</v>
      </c>
    </row>
    <row r="5" spans="1:2" x14ac:dyDescent="0.25">
      <c r="A5" s="17" t="s">
        <v>1055</v>
      </c>
      <c r="B5" s="18" t="s">
        <v>1058</v>
      </c>
    </row>
    <row r="6" spans="1:2" x14ac:dyDescent="0.25">
      <c r="A6" s="17" t="s">
        <v>1056</v>
      </c>
      <c r="B6" s="18" t="s">
        <v>1058</v>
      </c>
    </row>
    <row r="7" spans="1:2" x14ac:dyDescent="0.25">
      <c r="A7" s="19" t="s">
        <v>1057</v>
      </c>
      <c r="B7" s="20" t="s">
        <v>1059</v>
      </c>
    </row>
  </sheetData>
  <hyperlinks>
    <hyperlink ref="B1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0</xdr:col>
                <xdr:colOff>133350</xdr:colOff>
                <xdr:row>8</xdr:row>
                <xdr:rowOff>47625</xdr:rowOff>
              </from>
              <to>
                <xdr:col>1</xdr:col>
                <xdr:colOff>485775</xdr:colOff>
                <xdr:row>10</xdr:row>
                <xdr:rowOff>66675</xdr:rowOff>
              </to>
            </anchor>
          </controlPr>
        </control>
      </mc:Choice>
      <mc:Fallback>
        <control shapeId="2049" r:id="rId5" name="CommandButton1"/>
      </mc:Fallback>
    </mc:AlternateContent>
    <mc:AlternateContent xmlns:mc="http://schemas.openxmlformats.org/markup-compatibility/2006">
      <mc:Choice Requires="x14">
        <control shapeId="2050" r:id="rId7" name="Button 2">
          <controlPr defaultSize="0" print="0" autoFill="0" autoPict="0" macro="[0]!helloworld">
            <anchor moveWithCells="1" sizeWithCells="1">
              <from>
                <xdr:col>1</xdr:col>
                <xdr:colOff>762000</xdr:colOff>
                <xdr:row>8</xdr:row>
                <xdr:rowOff>57150</xdr:rowOff>
              </from>
              <to>
                <xdr:col>4</xdr:col>
                <xdr:colOff>104775</xdr:colOff>
                <xdr:row>10</xdr:row>
                <xdr:rowOff>133350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5"/>
  <sheetViews>
    <sheetView workbookViewId="0">
      <selection activeCell="B16" sqref="B16"/>
    </sheetView>
  </sheetViews>
  <sheetFormatPr defaultRowHeight="15" x14ac:dyDescent="0.25"/>
  <sheetData>
    <row r="1" spans="1:2" x14ac:dyDescent="0.25">
      <c r="A1" t="s">
        <v>1067</v>
      </c>
      <c r="B1" t="s">
        <v>1225</v>
      </c>
    </row>
    <row r="2" spans="1:2" x14ac:dyDescent="0.25">
      <c r="A2">
        <v>2036</v>
      </c>
      <c r="B2" t="s">
        <v>1127</v>
      </c>
    </row>
    <row r="3" spans="1:2" x14ac:dyDescent="0.25">
      <c r="A3">
        <v>20005201</v>
      </c>
      <c r="B3" t="s">
        <v>1331</v>
      </c>
    </row>
    <row r="4" spans="1:2" x14ac:dyDescent="0.25">
      <c r="A4">
        <v>2028</v>
      </c>
      <c r="B4" t="s">
        <v>1332</v>
      </c>
    </row>
    <row r="5" spans="1:2" x14ac:dyDescent="0.25">
      <c r="A5">
        <v>2103</v>
      </c>
      <c r="B5" t="s">
        <v>1333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2"/>
  <sheetViews>
    <sheetView workbookViewId="0">
      <selection activeCell="C2" sqref="C2"/>
    </sheetView>
  </sheetViews>
  <sheetFormatPr defaultRowHeight="15" x14ac:dyDescent="0.25"/>
  <sheetData>
    <row r="1" spans="1:4" x14ac:dyDescent="0.25">
      <c r="A1" t="s">
        <v>1035</v>
      </c>
      <c r="B1" t="s">
        <v>1036</v>
      </c>
      <c r="C1" t="s">
        <v>1037</v>
      </c>
      <c r="D1" t="s">
        <v>1038</v>
      </c>
    </row>
    <row r="2" spans="1:4" x14ac:dyDescent="0.25">
      <c r="A2" t="s">
        <v>595</v>
      </c>
      <c r="B2" t="s">
        <v>596</v>
      </c>
      <c r="C2" t="s">
        <v>134</v>
      </c>
      <c r="D2" t="s">
        <v>944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67"/>
  <sheetViews>
    <sheetView workbookViewId="0">
      <selection activeCell="F37" sqref="F37"/>
    </sheetView>
  </sheetViews>
  <sheetFormatPr defaultRowHeight="15" x14ac:dyDescent="0.25"/>
  <sheetData>
    <row r="1" spans="1:11" x14ac:dyDescent="0.25">
      <c r="A1" t="s">
        <v>1220</v>
      </c>
      <c r="B1" t="s">
        <v>1221</v>
      </c>
      <c r="C1" t="s">
        <v>1222</v>
      </c>
      <c r="D1" t="s">
        <v>1223</v>
      </c>
      <c r="E1" t="s">
        <v>1224</v>
      </c>
      <c r="F1" t="s">
        <v>1225</v>
      </c>
      <c r="G1" t="s">
        <v>1226</v>
      </c>
      <c r="H1" t="s">
        <v>1227</v>
      </c>
      <c r="I1" t="s">
        <v>1228</v>
      </c>
      <c r="J1" t="s">
        <v>1229</v>
      </c>
      <c r="K1" t="s">
        <v>1230</v>
      </c>
    </row>
    <row r="2" spans="1:11" x14ac:dyDescent="0.25">
      <c r="A2">
        <v>2553</v>
      </c>
      <c r="B2">
        <v>18</v>
      </c>
      <c r="C2">
        <v>2553</v>
      </c>
      <c r="D2">
        <v>0.01</v>
      </c>
      <c r="E2" t="s">
        <v>1231</v>
      </c>
      <c r="F2" t="s">
        <v>1232</v>
      </c>
      <c r="H2">
        <v>2</v>
      </c>
      <c r="I2" t="s">
        <v>1233</v>
      </c>
      <c r="J2" t="s">
        <v>1234</v>
      </c>
    </row>
    <row r="3" spans="1:11" x14ac:dyDescent="0.25">
      <c r="A3">
        <v>2556</v>
      </c>
      <c r="B3">
        <v>18</v>
      </c>
      <c r="C3">
        <v>2556</v>
      </c>
      <c r="D3">
        <v>0.01</v>
      </c>
      <c r="E3" t="s">
        <v>1235</v>
      </c>
      <c r="F3" t="s">
        <v>1236</v>
      </c>
      <c r="H3">
        <v>2</v>
      </c>
      <c r="I3" t="s">
        <v>1233</v>
      </c>
      <c r="J3" t="s">
        <v>1234</v>
      </c>
    </row>
    <row r="4" spans="1:11" x14ac:dyDescent="0.25">
      <c r="A4">
        <v>2560</v>
      </c>
      <c r="B4">
        <v>18</v>
      </c>
      <c r="C4">
        <v>2560</v>
      </c>
      <c r="D4">
        <v>0.01</v>
      </c>
      <c r="E4" t="s">
        <v>1237</v>
      </c>
      <c r="F4" t="s">
        <v>1238</v>
      </c>
      <c r="H4">
        <v>2</v>
      </c>
      <c r="I4" t="s">
        <v>1233</v>
      </c>
      <c r="J4" t="s">
        <v>1234</v>
      </c>
    </row>
    <row r="5" spans="1:11" x14ac:dyDescent="0.25">
      <c r="A5">
        <v>2566</v>
      </c>
      <c r="B5">
        <v>18</v>
      </c>
      <c r="C5">
        <v>2566</v>
      </c>
      <c r="D5">
        <v>0.01</v>
      </c>
      <c r="E5" t="s">
        <v>62</v>
      </c>
      <c r="F5" t="s">
        <v>1239</v>
      </c>
      <c r="H5">
        <v>2</v>
      </c>
      <c r="I5" t="s">
        <v>1233</v>
      </c>
      <c r="J5" t="s">
        <v>1234</v>
      </c>
    </row>
    <row r="6" spans="1:11" x14ac:dyDescent="0.25">
      <c r="A6">
        <v>2569</v>
      </c>
      <c r="B6">
        <v>18</v>
      </c>
      <c r="C6">
        <v>2569</v>
      </c>
      <c r="D6">
        <v>0.01</v>
      </c>
      <c r="E6" t="s">
        <v>1240</v>
      </c>
      <c r="F6" t="s">
        <v>1241</v>
      </c>
      <c r="H6">
        <v>2</v>
      </c>
      <c r="I6" t="s">
        <v>1233</v>
      </c>
      <c r="J6" t="s">
        <v>1234</v>
      </c>
    </row>
    <row r="7" spans="1:11" x14ac:dyDescent="0.25">
      <c r="A7">
        <v>2575</v>
      </c>
      <c r="B7">
        <v>18</v>
      </c>
      <c r="C7">
        <v>2575</v>
      </c>
      <c r="D7">
        <v>1</v>
      </c>
      <c r="E7" t="s">
        <v>1242</v>
      </c>
      <c r="F7" t="s">
        <v>1243</v>
      </c>
      <c r="H7">
        <v>0</v>
      </c>
      <c r="I7" t="s">
        <v>1233</v>
      </c>
      <c r="J7" t="s">
        <v>1244</v>
      </c>
    </row>
    <row r="8" spans="1:11" x14ac:dyDescent="0.25">
      <c r="A8">
        <v>2543</v>
      </c>
      <c r="B8">
        <v>18</v>
      </c>
      <c r="C8">
        <v>2543</v>
      </c>
      <c r="E8" t="s">
        <v>1245</v>
      </c>
      <c r="F8" t="s">
        <v>1246</v>
      </c>
      <c r="J8" t="s">
        <v>1244</v>
      </c>
    </row>
    <row r="9" spans="1:11" x14ac:dyDescent="0.25">
      <c r="A9">
        <v>2676</v>
      </c>
      <c r="B9">
        <v>18</v>
      </c>
      <c r="C9">
        <v>2676</v>
      </c>
      <c r="D9">
        <v>0.01</v>
      </c>
      <c r="E9" t="s">
        <v>1247</v>
      </c>
      <c r="F9" t="s">
        <v>1033</v>
      </c>
      <c r="H9">
        <v>2</v>
      </c>
      <c r="I9" t="s">
        <v>1233</v>
      </c>
      <c r="J9" t="s">
        <v>1234</v>
      </c>
    </row>
    <row r="10" spans="1:11" x14ac:dyDescent="0.25">
      <c r="A10">
        <v>31451</v>
      </c>
      <c r="B10">
        <v>18</v>
      </c>
      <c r="C10">
        <v>31451</v>
      </c>
      <c r="D10">
        <v>0.01</v>
      </c>
      <c r="E10" t="s">
        <v>37</v>
      </c>
      <c r="F10" t="s">
        <v>1248</v>
      </c>
      <c r="H10">
        <v>2</v>
      </c>
      <c r="I10" t="s">
        <v>1233</v>
      </c>
      <c r="J10" t="s">
        <v>1234</v>
      </c>
    </row>
    <row r="11" spans="1:11" x14ac:dyDescent="0.25">
      <c r="A11">
        <v>2611</v>
      </c>
      <c r="B11">
        <v>18</v>
      </c>
      <c r="C11">
        <v>2611</v>
      </c>
      <c r="D11">
        <v>0.01</v>
      </c>
      <c r="E11" t="s">
        <v>1249</v>
      </c>
      <c r="F11" t="s">
        <v>884</v>
      </c>
      <c r="H11">
        <v>2</v>
      </c>
      <c r="I11" t="s">
        <v>1233</v>
      </c>
      <c r="J11" t="s">
        <v>1234</v>
      </c>
    </row>
    <row r="12" spans="1:11" x14ac:dyDescent="0.25">
      <c r="A12">
        <v>2626</v>
      </c>
      <c r="B12">
        <v>18</v>
      </c>
      <c r="C12">
        <v>2626</v>
      </c>
      <c r="D12">
        <v>0.01</v>
      </c>
      <c r="E12" t="s">
        <v>1250</v>
      </c>
      <c r="F12" t="s">
        <v>1251</v>
      </c>
      <c r="H12">
        <v>2</v>
      </c>
      <c r="I12" t="s">
        <v>1233</v>
      </c>
      <c r="J12" t="s">
        <v>1234</v>
      </c>
    </row>
    <row r="13" spans="1:11" x14ac:dyDescent="0.25">
      <c r="A13">
        <v>2635</v>
      </c>
      <c r="B13">
        <v>18</v>
      </c>
      <c r="C13">
        <v>2635</v>
      </c>
      <c r="D13">
        <v>0.01</v>
      </c>
      <c r="E13" t="s">
        <v>1252</v>
      </c>
      <c r="F13" t="s">
        <v>1253</v>
      </c>
      <c r="H13">
        <v>2</v>
      </c>
      <c r="I13" t="s">
        <v>1233</v>
      </c>
      <c r="J13" t="s">
        <v>1234</v>
      </c>
    </row>
    <row r="14" spans="1:11" x14ac:dyDescent="0.25">
      <c r="A14">
        <v>2640</v>
      </c>
      <c r="B14">
        <v>18</v>
      </c>
      <c r="C14">
        <v>2640</v>
      </c>
      <c r="D14">
        <v>0.01</v>
      </c>
      <c r="E14" t="s">
        <v>1254</v>
      </c>
      <c r="F14" t="s">
        <v>1255</v>
      </c>
      <c r="H14">
        <v>2</v>
      </c>
      <c r="I14" t="s">
        <v>1233</v>
      </c>
      <c r="J14" t="s">
        <v>1234</v>
      </c>
    </row>
    <row r="15" spans="1:11" x14ac:dyDescent="0.25">
      <c r="A15">
        <v>2645</v>
      </c>
      <c r="B15">
        <v>18</v>
      </c>
      <c r="C15">
        <v>2645</v>
      </c>
      <c r="D15">
        <v>0.01</v>
      </c>
      <c r="E15" t="s">
        <v>136</v>
      </c>
      <c r="F15" t="s">
        <v>948</v>
      </c>
      <c r="H15">
        <v>2</v>
      </c>
      <c r="I15" t="s">
        <v>1233</v>
      </c>
      <c r="J15" t="s">
        <v>1234</v>
      </c>
    </row>
    <row r="16" spans="1:11" x14ac:dyDescent="0.25">
      <c r="A16">
        <v>2673</v>
      </c>
      <c r="B16">
        <v>18</v>
      </c>
      <c r="C16">
        <v>2673</v>
      </c>
      <c r="D16">
        <v>0.01</v>
      </c>
      <c r="E16" t="s">
        <v>1256</v>
      </c>
      <c r="F16" t="s">
        <v>1257</v>
      </c>
      <c r="H16">
        <v>2</v>
      </c>
      <c r="I16" t="s">
        <v>1233</v>
      </c>
      <c r="J16" t="s">
        <v>1234</v>
      </c>
    </row>
    <row r="17" spans="1:10" x14ac:dyDescent="0.25">
      <c r="A17">
        <v>2605</v>
      </c>
      <c r="B17">
        <v>18</v>
      </c>
      <c r="C17">
        <v>2605</v>
      </c>
      <c r="D17">
        <v>0.01</v>
      </c>
      <c r="E17" t="s">
        <v>1258</v>
      </c>
      <c r="F17" t="s">
        <v>1259</v>
      </c>
      <c r="H17">
        <v>2</v>
      </c>
      <c r="I17" t="s">
        <v>1233</v>
      </c>
      <c r="J17" t="s">
        <v>1234</v>
      </c>
    </row>
    <row r="18" spans="1:10" x14ac:dyDescent="0.25">
      <c r="A18">
        <v>2609</v>
      </c>
      <c r="B18">
        <v>18</v>
      </c>
      <c r="C18">
        <v>2609</v>
      </c>
      <c r="D18">
        <v>0.01</v>
      </c>
      <c r="E18" t="s">
        <v>101</v>
      </c>
      <c r="F18" t="s">
        <v>879</v>
      </c>
      <c r="H18">
        <v>2</v>
      </c>
      <c r="I18" t="s">
        <v>1233</v>
      </c>
      <c r="J18" t="s">
        <v>1234</v>
      </c>
    </row>
    <row r="19" spans="1:10" x14ac:dyDescent="0.25">
      <c r="A19">
        <v>2612</v>
      </c>
      <c r="B19">
        <v>18</v>
      </c>
      <c r="C19">
        <v>2612</v>
      </c>
      <c r="D19">
        <v>0.01</v>
      </c>
      <c r="E19" t="s">
        <v>105</v>
      </c>
      <c r="F19" t="s">
        <v>886</v>
      </c>
      <c r="H19">
        <v>2</v>
      </c>
      <c r="I19" t="s">
        <v>1233</v>
      </c>
      <c r="J19" t="s">
        <v>1234</v>
      </c>
    </row>
    <row r="20" spans="1:10" x14ac:dyDescent="0.25">
      <c r="A20">
        <v>2663</v>
      </c>
      <c r="B20">
        <v>18</v>
      </c>
      <c r="C20">
        <v>2663</v>
      </c>
      <c r="D20">
        <v>0.01</v>
      </c>
      <c r="E20" t="s">
        <v>1260</v>
      </c>
      <c r="F20" t="s">
        <v>1261</v>
      </c>
      <c r="H20">
        <v>2</v>
      </c>
      <c r="I20" t="s">
        <v>1233</v>
      </c>
      <c r="J20" t="s">
        <v>1234</v>
      </c>
    </row>
    <row r="21" spans="1:10" x14ac:dyDescent="0.25">
      <c r="A21">
        <v>2675</v>
      </c>
      <c r="B21">
        <v>18</v>
      </c>
      <c r="C21">
        <v>2675</v>
      </c>
      <c r="D21">
        <v>0.01</v>
      </c>
      <c r="E21" t="s">
        <v>1262</v>
      </c>
      <c r="F21" t="s">
        <v>1031</v>
      </c>
      <c r="H21">
        <v>2</v>
      </c>
      <c r="I21" t="s">
        <v>1233</v>
      </c>
      <c r="J21" t="s">
        <v>1234</v>
      </c>
    </row>
    <row r="22" spans="1:10" x14ac:dyDescent="0.25">
      <c r="A22">
        <v>2583</v>
      </c>
      <c r="B22">
        <v>18</v>
      </c>
      <c r="C22">
        <v>2583</v>
      </c>
      <c r="D22">
        <v>0.01</v>
      </c>
      <c r="E22" t="s">
        <v>77</v>
      </c>
      <c r="F22" t="s">
        <v>831</v>
      </c>
      <c r="H22">
        <v>2</v>
      </c>
      <c r="I22" t="s">
        <v>1233</v>
      </c>
      <c r="J22" t="s">
        <v>1234</v>
      </c>
    </row>
    <row r="23" spans="1:10" x14ac:dyDescent="0.25">
      <c r="A23">
        <v>2501</v>
      </c>
      <c r="B23">
        <v>18</v>
      </c>
      <c r="C23">
        <v>2501</v>
      </c>
      <c r="D23">
        <v>0.01</v>
      </c>
      <c r="E23" t="s">
        <v>1263</v>
      </c>
      <c r="F23" t="s">
        <v>685</v>
      </c>
      <c r="H23">
        <v>2</v>
      </c>
      <c r="I23" t="s">
        <v>1233</v>
      </c>
      <c r="J23" t="s">
        <v>1234</v>
      </c>
    </row>
    <row r="24" spans="1:10" x14ac:dyDescent="0.25">
      <c r="A24">
        <v>2507</v>
      </c>
      <c r="B24">
        <v>18</v>
      </c>
      <c r="C24">
        <v>2507</v>
      </c>
      <c r="D24">
        <v>0.01</v>
      </c>
      <c r="E24" t="s">
        <v>1264</v>
      </c>
      <c r="F24" t="s">
        <v>1265</v>
      </c>
      <c r="H24">
        <v>2</v>
      </c>
      <c r="I24" t="s">
        <v>1233</v>
      </c>
      <c r="J24" t="s">
        <v>1234</v>
      </c>
    </row>
    <row r="25" spans="1:10" x14ac:dyDescent="0.25">
      <c r="A25">
        <v>2514</v>
      </c>
      <c r="B25">
        <v>18</v>
      </c>
      <c r="C25">
        <v>2514</v>
      </c>
      <c r="D25">
        <v>0.01</v>
      </c>
      <c r="E25" t="s">
        <v>1266</v>
      </c>
      <c r="F25" t="s">
        <v>1267</v>
      </c>
      <c r="H25">
        <v>2</v>
      </c>
      <c r="I25" t="s">
        <v>1233</v>
      </c>
      <c r="J25" t="s">
        <v>1234</v>
      </c>
    </row>
    <row r="26" spans="1:10" x14ac:dyDescent="0.25">
      <c r="A26">
        <v>2523</v>
      </c>
      <c r="B26">
        <v>18</v>
      </c>
      <c r="C26">
        <v>2523</v>
      </c>
      <c r="D26">
        <v>0.01</v>
      </c>
      <c r="E26" t="s">
        <v>22</v>
      </c>
      <c r="F26" t="s">
        <v>1268</v>
      </c>
      <c r="H26">
        <v>2</v>
      </c>
      <c r="I26" t="s">
        <v>1233</v>
      </c>
      <c r="J26" t="s">
        <v>1234</v>
      </c>
    </row>
    <row r="27" spans="1:10" x14ac:dyDescent="0.25">
      <c r="A27">
        <v>2528</v>
      </c>
      <c r="B27">
        <v>18</v>
      </c>
      <c r="C27">
        <v>2528</v>
      </c>
      <c r="D27">
        <v>0.01</v>
      </c>
      <c r="E27" t="s">
        <v>27</v>
      </c>
      <c r="F27" t="s">
        <v>1269</v>
      </c>
      <c r="H27">
        <v>2</v>
      </c>
      <c r="I27" t="s">
        <v>1233</v>
      </c>
      <c r="J27" t="s">
        <v>1234</v>
      </c>
    </row>
    <row r="28" spans="1:10" x14ac:dyDescent="0.25">
      <c r="A28">
        <v>2544</v>
      </c>
      <c r="B28">
        <v>18</v>
      </c>
      <c r="C28">
        <v>2544</v>
      </c>
      <c r="D28">
        <v>0.01</v>
      </c>
      <c r="E28" t="s">
        <v>1270</v>
      </c>
      <c r="F28" t="s">
        <v>1271</v>
      </c>
      <c r="H28">
        <v>2</v>
      </c>
      <c r="I28" t="s">
        <v>1233</v>
      </c>
      <c r="J28" t="s">
        <v>1234</v>
      </c>
    </row>
    <row r="29" spans="1:10" x14ac:dyDescent="0.25">
      <c r="A29">
        <v>2620</v>
      </c>
      <c r="B29">
        <v>18</v>
      </c>
      <c r="C29">
        <v>2620</v>
      </c>
      <c r="D29">
        <v>0.01</v>
      </c>
      <c r="E29" t="s">
        <v>112</v>
      </c>
      <c r="F29" t="s">
        <v>1272</v>
      </c>
      <c r="H29">
        <v>2</v>
      </c>
      <c r="I29" t="s">
        <v>1233</v>
      </c>
      <c r="J29" t="s">
        <v>1234</v>
      </c>
    </row>
    <row r="30" spans="1:10" x14ac:dyDescent="0.25">
      <c r="A30">
        <v>2643</v>
      </c>
      <c r="B30">
        <v>18</v>
      </c>
      <c r="C30">
        <v>2643</v>
      </c>
      <c r="D30">
        <v>0.01</v>
      </c>
      <c r="E30" t="s">
        <v>1273</v>
      </c>
      <c r="F30" t="s">
        <v>1274</v>
      </c>
      <c r="H30">
        <v>2</v>
      </c>
      <c r="I30" t="s">
        <v>1233</v>
      </c>
      <c r="J30" t="s">
        <v>1234</v>
      </c>
    </row>
    <row r="31" spans="1:10" x14ac:dyDescent="0.25">
      <c r="A31">
        <v>2536</v>
      </c>
      <c r="B31">
        <v>18</v>
      </c>
      <c r="C31">
        <v>2536</v>
      </c>
      <c r="D31">
        <v>0.01</v>
      </c>
      <c r="E31" t="s">
        <v>1275</v>
      </c>
      <c r="F31" t="s">
        <v>1276</v>
      </c>
      <c r="H31">
        <v>2</v>
      </c>
      <c r="I31" t="s">
        <v>1233</v>
      </c>
      <c r="J31" t="s">
        <v>1234</v>
      </c>
    </row>
    <row r="32" spans="1:10" x14ac:dyDescent="0.25">
      <c r="A32">
        <v>2538</v>
      </c>
      <c r="B32">
        <v>18</v>
      </c>
      <c r="C32">
        <v>2538</v>
      </c>
      <c r="D32">
        <v>0.01</v>
      </c>
      <c r="E32" t="s">
        <v>1277</v>
      </c>
      <c r="F32" t="s">
        <v>1278</v>
      </c>
      <c r="H32">
        <v>2</v>
      </c>
      <c r="I32" t="s">
        <v>1233</v>
      </c>
      <c r="J32" t="s">
        <v>1234</v>
      </c>
    </row>
    <row r="33" spans="1:10" x14ac:dyDescent="0.25">
      <c r="A33">
        <v>2510</v>
      </c>
      <c r="B33">
        <v>18</v>
      </c>
      <c r="C33">
        <v>2510</v>
      </c>
      <c r="D33">
        <v>0.01</v>
      </c>
      <c r="E33" t="s">
        <v>1279</v>
      </c>
      <c r="F33" t="s">
        <v>701</v>
      </c>
      <c r="H33">
        <v>2</v>
      </c>
      <c r="I33" t="s">
        <v>1233</v>
      </c>
      <c r="J33" t="s">
        <v>1234</v>
      </c>
    </row>
    <row r="34" spans="1:10" x14ac:dyDescent="0.25">
      <c r="A34">
        <v>316880</v>
      </c>
      <c r="B34">
        <v>23</v>
      </c>
      <c r="C34">
        <v>316880</v>
      </c>
      <c r="D34">
        <v>1E-3</v>
      </c>
      <c r="E34" t="s">
        <v>173</v>
      </c>
      <c r="F34" t="s">
        <v>1280</v>
      </c>
      <c r="H34">
        <v>3</v>
      </c>
      <c r="I34" t="s">
        <v>1233</v>
      </c>
      <c r="J34" t="s">
        <v>1281</v>
      </c>
    </row>
    <row r="35" spans="1:10" x14ac:dyDescent="0.25">
      <c r="A35">
        <v>316872</v>
      </c>
      <c r="B35">
        <v>23</v>
      </c>
      <c r="C35">
        <v>316872</v>
      </c>
      <c r="D35">
        <v>1E-3</v>
      </c>
      <c r="E35" t="s">
        <v>1282</v>
      </c>
      <c r="F35" t="s">
        <v>1283</v>
      </c>
      <c r="H35">
        <v>3</v>
      </c>
      <c r="I35" t="s">
        <v>1233</v>
      </c>
      <c r="J35" t="s">
        <v>1281</v>
      </c>
    </row>
    <row r="36" spans="1:10" x14ac:dyDescent="0.25">
      <c r="A36">
        <v>316875</v>
      </c>
      <c r="B36">
        <v>23</v>
      </c>
      <c r="C36">
        <v>316875</v>
      </c>
      <c r="D36">
        <v>0.01</v>
      </c>
      <c r="E36" t="s">
        <v>1284</v>
      </c>
      <c r="F36" t="s">
        <v>1285</v>
      </c>
      <c r="H36">
        <v>2</v>
      </c>
      <c r="I36" t="s">
        <v>1233</v>
      </c>
      <c r="J36" t="s">
        <v>1234</v>
      </c>
    </row>
    <row r="37" spans="1:10" x14ac:dyDescent="0.25">
      <c r="A37">
        <v>2639</v>
      </c>
      <c r="B37">
        <v>18</v>
      </c>
      <c r="C37">
        <v>2639</v>
      </c>
      <c r="D37">
        <v>0.01</v>
      </c>
      <c r="E37" t="s">
        <v>1286</v>
      </c>
      <c r="F37" t="s">
        <v>1287</v>
      </c>
      <c r="H37">
        <v>2</v>
      </c>
      <c r="I37" t="s">
        <v>1233</v>
      </c>
      <c r="J37" t="s">
        <v>1234</v>
      </c>
    </row>
    <row r="38" spans="1:10" x14ac:dyDescent="0.25">
      <c r="A38">
        <v>2650</v>
      </c>
      <c r="B38">
        <v>18</v>
      </c>
      <c r="C38">
        <v>2650</v>
      </c>
      <c r="D38">
        <v>0.01</v>
      </c>
      <c r="E38" t="s">
        <v>1288</v>
      </c>
      <c r="F38" t="s">
        <v>1289</v>
      </c>
      <c r="H38">
        <v>2</v>
      </c>
      <c r="I38" t="s">
        <v>1233</v>
      </c>
      <c r="J38" t="s">
        <v>1234</v>
      </c>
    </row>
    <row r="39" spans="1:10" x14ac:dyDescent="0.25">
      <c r="A39">
        <v>208630</v>
      </c>
      <c r="B39">
        <v>23</v>
      </c>
      <c r="C39">
        <v>208630</v>
      </c>
      <c r="D39">
        <v>1E-3</v>
      </c>
      <c r="E39" t="s">
        <v>1290</v>
      </c>
      <c r="F39" t="s">
        <v>1290</v>
      </c>
      <c r="H39">
        <v>3</v>
      </c>
      <c r="I39" t="s">
        <v>1233</v>
      </c>
      <c r="J39" t="s">
        <v>1281</v>
      </c>
    </row>
    <row r="40" spans="1:10" x14ac:dyDescent="0.25">
      <c r="A40">
        <v>208629</v>
      </c>
      <c r="B40">
        <v>23</v>
      </c>
      <c r="C40">
        <v>208629</v>
      </c>
      <c r="D40">
        <v>1E-3</v>
      </c>
      <c r="E40" t="s">
        <v>1291</v>
      </c>
      <c r="F40" t="s">
        <v>1291</v>
      </c>
      <c r="H40">
        <v>3</v>
      </c>
      <c r="I40" t="s">
        <v>1233</v>
      </c>
      <c r="J40" t="s">
        <v>1281</v>
      </c>
    </row>
    <row r="41" spans="1:10" x14ac:dyDescent="0.25">
      <c r="A41">
        <v>208631</v>
      </c>
      <c r="B41">
        <v>23</v>
      </c>
      <c r="C41">
        <v>208631</v>
      </c>
      <c r="D41">
        <v>1E-3</v>
      </c>
      <c r="E41" t="s">
        <v>1292</v>
      </c>
      <c r="F41" t="s">
        <v>1292</v>
      </c>
      <c r="H41">
        <v>3</v>
      </c>
      <c r="I41" t="s">
        <v>1233</v>
      </c>
      <c r="J41" t="s">
        <v>1281</v>
      </c>
    </row>
    <row r="42" spans="1:10" x14ac:dyDescent="0.25">
      <c r="A42">
        <v>208632</v>
      </c>
      <c r="B42">
        <v>23</v>
      </c>
      <c r="C42">
        <v>208632</v>
      </c>
      <c r="D42">
        <v>1E-3</v>
      </c>
      <c r="E42" t="s">
        <v>1293</v>
      </c>
      <c r="F42" t="s">
        <v>1293</v>
      </c>
      <c r="H42">
        <v>3</v>
      </c>
      <c r="I42" t="s">
        <v>1233</v>
      </c>
      <c r="J42" t="s">
        <v>1281</v>
      </c>
    </row>
    <row r="43" spans="1:10" x14ac:dyDescent="0.25">
      <c r="A43">
        <v>208633</v>
      </c>
      <c r="B43">
        <v>23</v>
      </c>
      <c r="C43">
        <v>208633</v>
      </c>
      <c r="D43">
        <v>1E-3</v>
      </c>
      <c r="E43" t="s">
        <v>1294</v>
      </c>
      <c r="F43" t="s">
        <v>1294</v>
      </c>
      <c r="H43">
        <v>3</v>
      </c>
      <c r="I43" t="s">
        <v>1233</v>
      </c>
      <c r="J43" t="s">
        <v>1281</v>
      </c>
    </row>
    <row r="44" spans="1:10" x14ac:dyDescent="0.25">
      <c r="A44">
        <v>208634</v>
      </c>
      <c r="B44">
        <v>23</v>
      </c>
      <c r="C44">
        <v>208634</v>
      </c>
      <c r="D44">
        <v>1E-3</v>
      </c>
      <c r="E44" t="s">
        <v>1295</v>
      </c>
      <c r="F44" t="s">
        <v>1295</v>
      </c>
      <c r="H44">
        <v>3</v>
      </c>
      <c r="I44" t="s">
        <v>1233</v>
      </c>
      <c r="J44" t="s">
        <v>1281</v>
      </c>
    </row>
    <row r="45" spans="1:10" x14ac:dyDescent="0.25">
      <c r="A45">
        <v>316879</v>
      </c>
      <c r="B45">
        <v>23</v>
      </c>
      <c r="C45">
        <v>316879</v>
      </c>
      <c r="D45">
        <v>1E-3</v>
      </c>
      <c r="E45" t="s">
        <v>171</v>
      </c>
      <c r="F45" t="s">
        <v>1296</v>
      </c>
      <c r="H45">
        <v>3</v>
      </c>
      <c r="I45" t="s">
        <v>1233</v>
      </c>
      <c r="J45" t="s">
        <v>1281</v>
      </c>
    </row>
    <row r="46" spans="1:10" x14ac:dyDescent="0.25">
      <c r="A46">
        <v>50010</v>
      </c>
      <c r="B46">
        <v>23</v>
      </c>
      <c r="C46">
        <v>50010</v>
      </c>
      <c r="D46">
        <v>1E-3</v>
      </c>
      <c r="E46" t="s">
        <v>162</v>
      </c>
      <c r="F46" t="s">
        <v>1297</v>
      </c>
      <c r="H46">
        <v>3</v>
      </c>
      <c r="I46" t="s">
        <v>1233</v>
      </c>
      <c r="J46" t="s">
        <v>1281</v>
      </c>
    </row>
    <row r="47" spans="1:10" x14ac:dyDescent="0.25">
      <c r="A47">
        <v>316878</v>
      </c>
      <c r="B47">
        <v>23</v>
      </c>
      <c r="C47">
        <v>316878</v>
      </c>
      <c r="D47">
        <v>1E-3</v>
      </c>
      <c r="E47" t="s">
        <v>161</v>
      </c>
      <c r="F47" t="s">
        <v>1298</v>
      </c>
      <c r="H47">
        <v>3</v>
      </c>
      <c r="I47" t="s">
        <v>1233</v>
      </c>
      <c r="J47" t="s">
        <v>1281</v>
      </c>
    </row>
    <row r="48" spans="1:10" x14ac:dyDescent="0.25">
      <c r="A48">
        <v>2615</v>
      </c>
      <c r="B48">
        <v>18</v>
      </c>
      <c r="C48">
        <v>2615</v>
      </c>
      <c r="D48">
        <v>0.01</v>
      </c>
      <c r="E48" t="s">
        <v>1299</v>
      </c>
      <c r="F48" t="s">
        <v>1300</v>
      </c>
      <c r="H48">
        <v>2</v>
      </c>
      <c r="I48" t="s">
        <v>1233</v>
      </c>
      <c r="J48" t="s">
        <v>1234</v>
      </c>
    </row>
    <row r="49" spans="1:10" x14ac:dyDescent="0.25">
      <c r="A49">
        <v>2653</v>
      </c>
      <c r="B49">
        <v>18</v>
      </c>
      <c r="C49">
        <v>2653</v>
      </c>
      <c r="D49">
        <v>1</v>
      </c>
      <c r="E49" t="s">
        <v>1301</v>
      </c>
      <c r="F49" t="s">
        <v>1302</v>
      </c>
      <c r="H49">
        <v>0</v>
      </c>
      <c r="I49" t="s">
        <v>1233</v>
      </c>
      <c r="J49" t="s">
        <v>1244</v>
      </c>
    </row>
    <row r="50" spans="1:10" x14ac:dyDescent="0.25">
      <c r="A50">
        <v>2669</v>
      </c>
      <c r="B50">
        <v>18</v>
      </c>
      <c r="C50">
        <v>2669</v>
      </c>
      <c r="D50">
        <v>1</v>
      </c>
      <c r="E50" t="s">
        <v>168</v>
      </c>
      <c r="F50" t="s">
        <v>1303</v>
      </c>
      <c r="H50">
        <v>0</v>
      </c>
      <c r="I50" t="s">
        <v>1233</v>
      </c>
      <c r="J50" t="s">
        <v>1244</v>
      </c>
    </row>
    <row r="51" spans="1:10" x14ac:dyDescent="0.25">
      <c r="A51">
        <v>317061</v>
      </c>
      <c r="B51">
        <v>23</v>
      </c>
      <c r="C51">
        <v>317061</v>
      </c>
      <c r="D51">
        <v>0.01</v>
      </c>
      <c r="E51" t="s">
        <v>1304</v>
      </c>
      <c r="F51" t="s">
        <v>1305</v>
      </c>
      <c r="H51">
        <v>2</v>
      </c>
      <c r="I51" t="s">
        <v>1233</v>
      </c>
      <c r="J51" t="s">
        <v>1234</v>
      </c>
    </row>
    <row r="52" spans="1:10" x14ac:dyDescent="0.25">
      <c r="A52">
        <v>317062</v>
      </c>
      <c r="B52">
        <v>23</v>
      </c>
      <c r="C52">
        <v>317062</v>
      </c>
      <c r="D52">
        <v>0.01</v>
      </c>
      <c r="E52" t="s">
        <v>1306</v>
      </c>
      <c r="F52" t="s">
        <v>1307</v>
      </c>
      <c r="H52">
        <v>2</v>
      </c>
      <c r="I52" t="s">
        <v>1233</v>
      </c>
      <c r="J52" t="s">
        <v>1234</v>
      </c>
    </row>
    <row r="53" spans="1:10" x14ac:dyDescent="0.25">
      <c r="A53">
        <v>317063</v>
      </c>
      <c r="B53">
        <v>23</v>
      </c>
      <c r="C53">
        <v>317063</v>
      </c>
      <c r="D53">
        <v>0.01</v>
      </c>
      <c r="E53" t="s">
        <v>1308</v>
      </c>
      <c r="F53" t="s">
        <v>1309</v>
      </c>
      <c r="H53">
        <v>2</v>
      </c>
      <c r="I53" t="s">
        <v>1233</v>
      </c>
      <c r="J53" t="s">
        <v>1234</v>
      </c>
    </row>
    <row r="54" spans="1:10" x14ac:dyDescent="0.25">
      <c r="A54">
        <v>316873</v>
      </c>
      <c r="B54">
        <v>23</v>
      </c>
      <c r="C54">
        <v>316873</v>
      </c>
      <c r="D54">
        <v>1E-3</v>
      </c>
      <c r="E54" t="s">
        <v>1310</v>
      </c>
      <c r="F54" t="s">
        <v>1311</v>
      </c>
      <c r="H54">
        <v>3</v>
      </c>
      <c r="I54" t="s">
        <v>1233</v>
      </c>
      <c r="J54" t="s">
        <v>1281</v>
      </c>
    </row>
    <row r="55" spans="1:10" x14ac:dyDescent="0.25">
      <c r="A55">
        <v>2532</v>
      </c>
      <c r="B55">
        <v>18</v>
      </c>
      <c r="C55">
        <v>2532</v>
      </c>
      <c r="D55">
        <v>0.01</v>
      </c>
      <c r="E55" t="s">
        <v>34</v>
      </c>
      <c r="F55" t="s">
        <v>748</v>
      </c>
      <c r="H55">
        <v>2</v>
      </c>
      <c r="I55" t="s">
        <v>1233</v>
      </c>
      <c r="J55" t="s">
        <v>1234</v>
      </c>
    </row>
    <row r="56" spans="1:10" x14ac:dyDescent="0.25">
      <c r="A56">
        <v>2520</v>
      </c>
      <c r="B56">
        <v>18</v>
      </c>
      <c r="C56">
        <v>2520</v>
      </c>
      <c r="D56">
        <v>0.01</v>
      </c>
      <c r="E56" t="s">
        <v>18</v>
      </c>
      <c r="F56" t="s">
        <v>719</v>
      </c>
      <c r="H56">
        <v>2</v>
      </c>
      <c r="I56" t="s">
        <v>1233</v>
      </c>
      <c r="J56" t="s">
        <v>1234</v>
      </c>
    </row>
    <row r="57" spans="1:10" x14ac:dyDescent="0.25">
      <c r="A57">
        <v>2588</v>
      </c>
      <c r="B57">
        <v>18</v>
      </c>
      <c r="C57">
        <v>2588</v>
      </c>
      <c r="D57">
        <v>0.01</v>
      </c>
      <c r="E57" t="s">
        <v>82</v>
      </c>
      <c r="F57" t="s">
        <v>1312</v>
      </c>
      <c r="H57">
        <v>2</v>
      </c>
      <c r="I57" t="s">
        <v>1233</v>
      </c>
      <c r="J57" t="s">
        <v>1234</v>
      </c>
    </row>
    <row r="58" spans="1:10" x14ac:dyDescent="0.25">
      <c r="A58">
        <v>2592</v>
      </c>
      <c r="B58">
        <v>18</v>
      </c>
      <c r="C58">
        <v>2592</v>
      </c>
      <c r="D58">
        <v>0.01</v>
      </c>
      <c r="E58" t="s">
        <v>86</v>
      </c>
      <c r="F58" t="s">
        <v>1313</v>
      </c>
      <c r="H58">
        <v>2</v>
      </c>
      <c r="I58" t="s">
        <v>1233</v>
      </c>
      <c r="J58" t="s">
        <v>1234</v>
      </c>
    </row>
    <row r="59" spans="1:10" x14ac:dyDescent="0.25">
      <c r="A59">
        <v>2594</v>
      </c>
      <c r="B59">
        <v>18</v>
      </c>
      <c r="C59">
        <v>2594</v>
      </c>
      <c r="D59">
        <v>0.01</v>
      </c>
      <c r="E59" t="s">
        <v>1314</v>
      </c>
      <c r="F59" t="s">
        <v>1315</v>
      </c>
      <c r="H59">
        <v>2</v>
      </c>
      <c r="I59" t="s">
        <v>1233</v>
      </c>
      <c r="J59" t="s">
        <v>1234</v>
      </c>
    </row>
    <row r="60" spans="1:10" x14ac:dyDescent="0.25">
      <c r="A60">
        <v>2547</v>
      </c>
      <c r="B60">
        <v>18</v>
      </c>
      <c r="C60">
        <v>2547</v>
      </c>
      <c r="D60">
        <v>0.01</v>
      </c>
      <c r="E60" t="s">
        <v>1316</v>
      </c>
      <c r="F60" t="s">
        <v>1317</v>
      </c>
      <c r="H60">
        <v>2</v>
      </c>
      <c r="I60" t="s">
        <v>1233</v>
      </c>
      <c r="J60" t="s">
        <v>1234</v>
      </c>
    </row>
    <row r="61" spans="1:10" x14ac:dyDescent="0.25">
      <c r="A61">
        <v>2550</v>
      </c>
      <c r="B61">
        <v>18</v>
      </c>
      <c r="C61">
        <v>2550</v>
      </c>
      <c r="D61">
        <v>0.01</v>
      </c>
      <c r="E61" t="s">
        <v>1318</v>
      </c>
      <c r="F61" t="s">
        <v>1319</v>
      </c>
      <c r="H61">
        <v>2</v>
      </c>
      <c r="I61" t="s">
        <v>1233</v>
      </c>
      <c r="J61" t="s">
        <v>1234</v>
      </c>
    </row>
    <row r="62" spans="1:10" x14ac:dyDescent="0.25">
      <c r="A62">
        <v>22210</v>
      </c>
      <c r="B62">
        <v>23</v>
      </c>
      <c r="C62">
        <v>2660</v>
      </c>
      <c r="D62">
        <v>1</v>
      </c>
      <c r="E62" t="s">
        <v>1320</v>
      </c>
      <c r="F62" t="s">
        <v>1321</v>
      </c>
      <c r="H62">
        <v>0</v>
      </c>
      <c r="I62" t="s">
        <v>1233</v>
      </c>
      <c r="J62" t="s">
        <v>1244</v>
      </c>
    </row>
    <row r="63" spans="1:10" x14ac:dyDescent="0.25">
      <c r="A63">
        <v>2599</v>
      </c>
      <c r="B63">
        <v>18</v>
      </c>
      <c r="C63">
        <v>2599</v>
      </c>
      <c r="D63">
        <v>1</v>
      </c>
      <c r="E63" t="s">
        <v>1322</v>
      </c>
      <c r="F63" t="s">
        <v>1323</v>
      </c>
      <c r="H63">
        <v>0</v>
      </c>
      <c r="I63" t="s">
        <v>1233</v>
      </c>
      <c r="J63" t="s">
        <v>1244</v>
      </c>
    </row>
    <row r="64" spans="1:10" x14ac:dyDescent="0.25">
      <c r="A64">
        <v>2629</v>
      </c>
      <c r="B64">
        <v>18</v>
      </c>
      <c r="C64">
        <v>2629</v>
      </c>
      <c r="D64">
        <v>0.01</v>
      </c>
      <c r="E64" t="s">
        <v>1324</v>
      </c>
      <c r="F64" t="s">
        <v>1325</v>
      </c>
      <c r="H64">
        <v>2</v>
      </c>
      <c r="I64" t="s">
        <v>1233</v>
      </c>
      <c r="J64" t="s">
        <v>1234</v>
      </c>
    </row>
    <row r="65" spans="1:10" x14ac:dyDescent="0.25">
      <c r="A65">
        <v>2654</v>
      </c>
      <c r="B65">
        <v>18</v>
      </c>
      <c r="C65">
        <v>2654</v>
      </c>
      <c r="D65">
        <v>1</v>
      </c>
      <c r="E65" t="s">
        <v>1326</v>
      </c>
      <c r="F65" t="s">
        <v>964</v>
      </c>
      <c r="H65">
        <v>0</v>
      </c>
      <c r="I65" t="s">
        <v>1233</v>
      </c>
      <c r="J65" t="s">
        <v>1244</v>
      </c>
    </row>
    <row r="66" spans="1:10" x14ac:dyDescent="0.25">
      <c r="A66">
        <v>316901</v>
      </c>
      <c r="B66">
        <v>23</v>
      </c>
      <c r="C66">
        <v>316901</v>
      </c>
      <c r="D66">
        <v>1E-3</v>
      </c>
      <c r="E66" t="s">
        <v>1327</v>
      </c>
      <c r="F66" t="s">
        <v>1328</v>
      </c>
      <c r="H66">
        <v>3</v>
      </c>
      <c r="I66" t="s">
        <v>1233</v>
      </c>
      <c r="J66" t="s">
        <v>1281</v>
      </c>
    </row>
    <row r="67" spans="1:10" x14ac:dyDescent="0.25">
      <c r="A67">
        <v>316902</v>
      </c>
      <c r="B67">
        <v>23</v>
      </c>
      <c r="C67">
        <v>316902</v>
      </c>
      <c r="D67">
        <v>1E-3</v>
      </c>
      <c r="E67" t="s">
        <v>1329</v>
      </c>
      <c r="F67" t="s">
        <v>1330</v>
      </c>
      <c r="H67">
        <v>3</v>
      </c>
      <c r="I67" t="s">
        <v>1233</v>
      </c>
      <c r="J67" t="s">
        <v>1281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16"/>
  <sheetViews>
    <sheetView workbookViewId="0">
      <selection activeCell="D11" sqref="D11"/>
    </sheetView>
  </sheetViews>
  <sheetFormatPr defaultRowHeight="15" x14ac:dyDescent="0.25"/>
  <sheetData>
    <row r="1" spans="1:4" x14ac:dyDescent="0.25">
      <c r="A1" t="s">
        <v>1035</v>
      </c>
      <c r="B1" t="s">
        <v>1036</v>
      </c>
      <c r="C1" t="s">
        <v>1037</v>
      </c>
      <c r="D1" t="s">
        <v>1038</v>
      </c>
    </row>
    <row r="2" spans="1:4" x14ac:dyDescent="0.25">
      <c r="A2" t="s">
        <v>595</v>
      </c>
      <c r="B2" t="s">
        <v>596</v>
      </c>
      <c r="C2" t="s">
        <v>134</v>
      </c>
      <c r="D2" t="s">
        <v>944</v>
      </c>
    </row>
    <row r="3" spans="1:4" x14ac:dyDescent="0.25">
      <c r="A3" t="s">
        <v>661</v>
      </c>
      <c r="B3" t="s">
        <v>662</v>
      </c>
      <c r="C3" t="s">
        <v>156</v>
      </c>
      <c r="D3" t="s">
        <v>985</v>
      </c>
    </row>
    <row r="4" spans="1:4" x14ac:dyDescent="0.25">
      <c r="A4" t="s">
        <v>277</v>
      </c>
      <c r="B4" t="s">
        <v>278</v>
      </c>
      <c r="C4" t="s">
        <v>35</v>
      </c>
      <c r="D4" t="s">
        <v>750</v>
      </c>
    </row>
    <row r="5" spans="1:4" x14ac:dyDescent="0.25">
      <c r="A5" t="s">
        <v>181</v>
      </c>
      <c r="B5" t="s">
        <v>182</v>
      </c>
      <c r="C5" t="s">
        <v>1</v>
      </c>
      <c r="D5" t="s">
        <v>685</v>
      </c>
    </row>
    <row r="6" spans="1:4" x14ac:dyDescent="0.25">
      <c r="A6" t="s">
        <v>651</v>
      </c>
      <c r="B6" t="s">
        <v>652</v>
      </c>
      <c r="C6" t="s">
        <v>152</v>
      </c>
      <c r="D6" t="s">
        <v>979</v>
      </c>
    </row>
    <row r="7" spans="1:4" x14ac:dyDescent="0.25">
      <c r="A7" t="s">
        <v>601</v>
      </c>
      <c r="B7" t="s">
        <v>602</v>
      </c>
      <c r="C7" t="s">
        <v>127</v>
      </c>
      <c r="D7" t="s">
        <v>930</v>
      </c>
    </row>
    <row r="8" spans="1:4" x14ac:dyDescent="0.25">
      <c r="A8" t="s">
        <v>675</v>
      </c>
      <c r="B8" t="s">
        <v>676</v>
      </c>
      <c r="C8" t="s">
        <v>179</v>
      </c>
      <c r="D8" t="s">
        <v>1031</v>
      </c>
    </row>
    <row r="9" spans="1:4" x14ac:dyDescent="0.25">
      <c r="A9" t="s">
        <v>233</v>
      </c>
      <c r="B9" t="s">
        <v>234</v>
      </c>
      <c r="C9" t="s">
        <v>19</v>
      </c>
      <c r="D9" t="s">
        <v>721</v>
      </c>
    </row>
    <row r="10" spans="1:4" x14ac:dyDescent="0.25">
      <c r="A10" t="s">
        <v>611</v>
      </c>
      <c r="B10" t="s">
        <v>612</v>
      </c>
      <c r="C10" t="s">
        <v>30</v>
      </c>
      <c r="D10" t="s">
        <v>742</v>
      </c>
    </row>
    <row r="11" spans="1:4" x14ac:dyDescent="0.25">
      <c r="A11" t="s">
        <v>483</v>
      </c>
      <c r="B11" t="s">
        <v>484</v>
      </c>
      <c r="C11" t="s">
        <v>104</v>
      </c>
      <c r="D11" t="s">
        <v>884</v>
      </c>
    </row>
    <row r="12" spans="1:4" x14ac:dyDescent="0.25">
      <c r="A12" t="s">
        <v>445</v>
      </c>
      <c r="B12" t="s">
        <v>446</v>
      </c>
      <c r="C12" t="s">
        <v>92</v>
      </c>
      <c r="D12" t="s">
        <v>861</v>
      </c>
    </row>
    <row r="13" spans="1:4" x14ac:dyDescent="0.25">
      <c r="A13" t="s">
        <v>603</v>
      </c>
      <c r="B13" t="s">
        <v>604</v>
      </c>
      <c r="C13" t="s">
        <v>133</v>
      </c>
      <c r="D13" t="s">
        <v>942</v>
      </c>
    </row>
    <row r="14" spans="1:4" x14ac:dyDescent="0.25">
      <c r="A14" t="s">
        <v>211</v>
      </c>
      <c r="B14" t="s">
        <v>212</v>
      </c>
      <c r="C14" t="s">
        <v>9</v>
      </c>
      <c r="D14" t="s">
        <v>701</v>
      </c>
    </row>
    <row r="15" spans="1:4" x14ac:dyDescent="0.25">
      <c r="A15" t="s">
        <v>467</v>
      </c>
      <c r="B15" t="s">
        <v>468</v>
      </c>
      <c r="C15" t="s">
        <v>102</v>
      </c>
      <c r="D15" t="s">
        <v>881</v>
      </c>
    </row>
    <row r="16" spans="1:4" x14ac:dyDescent="0.25">
      <c r="A16" t="s">
        <v>347</v>
      </c>
      <c r="B16" t="s">
        <v>348</v>
      </c>
      <c r="C16" t="s">
        <v>53</v>
      </c>
      <c r="D16" t="s">
        <v>783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84"/>
  <sheetViews>
    <sheetView tabSelected="1" topLeftCell="A143" workbookViewId="0">
      <selection activeCell="F168" sqref="F168"/>
    </sheetView>
  </sheetViews>
  <sheetFormatPr defaultRowHeight="15" x14ac:dyDescent="0.25"/>
  <cols>
    <col min="1" max="2" width="50.28515625" customWidth="1"/>
    <col min="3" max="3" width="57.42578125" customWidth="1"/>
  </cols>
  <sheetData>
    <row r="1" spans="1:3" x14ac:dyDescent="0.25">
      <c r="A1" t="s">
        <v>684</v>
      </c>
      <c r="B1" s="1" t="s">
        <v>0</v>
      </c>
      <c r="C1" s="2" t="s">
        <v>683</v>
      </c>
    </row>
    <row r="2" spans="1:3" x14ac:dyDescent="0.25">
      <c r="A2" t="s">
        <v>686</v>
      </c>
      <c r="B2" s="3" t="s">
        <v>1</v>
      </c>
      <c r="C2" s="4" t="s">
        <v>685</v>
      </c>
    </row>
    <row r="3" spans="1:3" x14ac:dyDescent="0.25">
      <c r="A3" t="s">
        <v>688</v>
      </c>
      <c r="B3" s="1" t="s">
        <v>2</v>
      </c>
      <c r="C3" s="2" t="s">
        <v>687</v>
      </c>
    </row>
    <row r="4" spans="1:3" x14ac:dyDescent="0.25">
      <c r="A4" t="s">
        <v>690</v>
      </c>
      <c r="B4" s="3" t="s">
        <v>3</v>
      </c>
      <c r="C4" s="4" t="s">
        <v>689</v>
      </c>
    </row>
    <row r="5" spans="1:3" x14ac:dyDescent="0.25">
      <c r="A5" t="s">
        <v>692</v>
      </c>
      <c r="B5" s="1" t="s">
        <v>4</v>
      </c>
      <c r="C5" s="2" t="s">
        <v>691</v>
      </c>
    </row>
    <row r="6" spans="1:3" x14ac:dyDescent="0.25">
      <c r="A6" t="s">
        <v>694</v>
      </c>
      <c r="B6" s="3" t="s">
        <v>5</v>
      </c>
      <c r="C6" s="4" t="s">
        <v>693</v>
      </c>
    </row>
    <row r="7" spans="1:3" x14ac:dyDescent="0.25">
      <c r="A7" t="s">
        <v>696</v>
      </c>
      <c r="B7" s="1" t="s">
        <v>6</v>
      </c>
      <c r="C7" s="2" t="s">
        <v>695</v>
      </c>
    </row>
    <row r="8" spans="1:3" x14ac:dyDescent="0.25">
      <c r="A8" t="s">
        <v>698</v>
      </c>
      <c r="B8" s="3" t="s">
        <v>7</v>
      </c>
      <c r="C8" s="4" t="s">
        <v>697</v>
      </c>
    </row>
    <row r="9" spans="1:3" x14ac:dyDescent="0.25">
      <c r="A9" t="s">
        <v>700</v>
      </c>
      <c r="B9" s="1" t="s">
        <v>8</v>
      </c>
      <c r="C9" s="2" t="s">
        <v>699</v>
      </c>
    </row>
    <row r="10" spans="1:3" x14ac:dyDescent="0.25">
      <c r="A10" t="s">
        <v>702</v>
      </c>
      <c r="B10" s="3" t="s">
        <v>9</v>
      </c>
      <c r="C10" s="4" t="s">
        <v>701</v>
      </c>
    </row>
    <row r="11" spans="1:3" x14ac:dyDescent="0.25">
      <c r="A11" t="s">
        <v>704</v>
      </c>
      <c r="B11" s="1" t="s">
        <v>10</v>
      </c>
      <c r="C11" s="2" t="s">
        <v>703</v>
      </c>
    </row>
    <row r="12" spans="1:3" x14ac:dyDescent="0.25">
      <c r="A12" t="s">
        <v>706</v>
      </c>
      <c r="B12" s="3" t="s">
        <v>11</v>
      </c>
      <c r="C12" s="4" t="s">
        <v>705</v>
      </c>
    </row>
    <row r="13" spans="1:3" x14ac:dyDescent="0.25">
      <c r="A13" t="s">
        <v>708</v>
      </c>
      <c r="B13" s="1" t="s">
        <v>12</v>
      </c>
      <c r="C13" s="2" t="s">
        <v>707</v>
      </c>
    </row>
    <row r="14" spans="1:3" x14ac:dyDescent="0.25">
      <c r="A14" t="s">
        <v>710</v>
      </c>
      <c r="B14" s="3" t="s">
        <v>13</v>
      </c>
      <c r="C14" s="4" t="s">
        <v>709</v>
      </c>
    </row>
    <row r="15" spans="1:3" x14ac:dyDescent="0.25">
      <c r="A15" t="s">
        <v>712</v>
      </c>
      <c r="B15" s="1" t="s">
        <v>14</v>
      </c>
      <c r="C15" s="2" t="s">
        <v>711</v>
      </c>
    </row>
    <row r="16" spans="1:3" x14ac:dyDescent="0.25">
      <c r="A16" t="s">
        <v>714</v>
      </c>
      <c r="B16" s="3" t="s">
        <v>15</v>
      </c>
      <c r="C16" s="4" t="s">
        <v>713</v>
      </c>
    </row>
    <row r="17" spans="1:3" x14ac:dyDescent="0.25">
      <c r="A17" t="s">
        <v>716</v>
      </c>
      <c r="B17" s="1" t="s">
        <v>16</v>
      </c>
      <c r="C17" s="2" t="s">
        <v>715</v>
      </c>
    </row>
    <row r="18" spans="1:3" x14ac:dyDescent="0.25">
      <c r="A18" t="s">
        <v>718</v>
      </c>
      <c r="B18" s="3" t="s">
        <v>17</v>
      </c>
      <c r="C18" s="4" t="s">
        <v>717</v>
      </c>
    </row>
    <row r="19" spans="1:3" x14ac:dyDescent="0.25">
      <c r="A19" t="s">
        <v>720</v>
      </c>
      <c r="B19" s="1" t="s">
        <v>18</v>
      </c>
      <c r="C19" s="2" t="s">
        <v>719</v>
      </c>
    </row>
    <row r="20" spans="1:3" x14ac:dyDescent="0.25">
      <c r="A20" t="s">
        <v>720</v>
      </c>
      <c r="B20" s="3" t="s">
        <v>19</v>
      </c>
      <c r="C20" s="4" t="s">
        <v>721</v>
      </c>
    </row>
    <row r="21" spans="1:3" x14ac:dyDescent="0.25">
      <c r="A21" t="s">
        <v>723</v>
      </c>
      <c r="B21" s="1" t="s">
        <v>20</v>
      </c>
      <c r="C21" s="2" t="s">
        <v>722</v>
      </c>
    </row>
    <row r="22" spans="1:3" x14ac:dyDescent="0.25">
      <c r="A22" t="s">
        <v>725</v>
      </c>
      <c r="B22" s="3" t="s">
        <v>21</v>
      </c>
      <c r="C22" s="4" t="s">
        <v>724</v>
      </c>
    </row>
    <row r="23" spans="1:3" x14ac:dyDescent="0.25">
      <c r="A23" t="s">
        <v>727</v>
      </c>
      <c r="B23" s="1" t="s">
        <v>22</v>
      </c>
      <c r="C23" s="2" t="s">
        <v>726</v>
      </c>
    </row>
    <row r="24" spans="1:3" x14ac:dyDescent="0.25">
      <c r="A24" t="s">
        <v>729</v>
      </c>
      <c r="B24" s="3" t="s">
        <v>23</v>
      </c>
      <c r="C24" s="4" t="s">
        <v>728</v>
      </c>
    </row>
    <row r="25" spans="1:3" x14ac:dyDescent="0.25">
      <c r="A25" t="s">
        <v>731</v>
      </c>
      <c r="B25" s="1" t="s">
        <v>24</v>
      </c>
      <c r="C25" s="2" t="s">
        <v>730</v>
      </c>
    </row>
    <row r="26" spans="1:3" x14ac:dyDescent="0.25">
      <c r="A26" t="s">
        <v>733</v>
      </c>
      <c r="B26" s="3" t="s">
        <v>25</v>
      </c>
      <c r="C26" s="4" t="s">
        <v>732</v>
      </c>
    </row>
    <row r="27" spans="1:3" x14ac:dyDescent="0.25">
      <c r="A27" t="s">
        <v>735</v>
      </c>
      <c r="B27" s="1" t="s">
        <v>26</v>
      </c>
      <c r="C27" s="2" t="s">
        <v>734</v>
      </c>
    </row>
    <row r="28" spans="1:3" x14ac:dyDescent="0.25">
      <c r="A28" t="s">
        <v>737</v>
      </c>
      <c r="B28" s="3" t="s">
        <v>27</v>
      </c>
      <c r="C28" s="4" t="s">
        <v>736</v>
      </c>
    </row>
    <row r="29" spans="1:3" x14ac:dyDescent="0.25">
      <c r="A29" t="s">
        <v>739</v>
      </c>
      <c r="B29" s="1" t="s">
        <v>28</v>
      </c>
      <c r="C29" s="2" t="s">
        <v>738</v>
      </c>
    </row>
    <row r="30" spans="1:3" x14ac:dyDescent="0.25">
      <c r="A30" t="s">
        <v>741</v>
      </c>
      <c r="B30" s="3" t="s">
        <v>29</v>
      </c>
      <c r="C30" s="4" t="s">
        <v>740</v>
      </c>
    </row>
    <row r="31" spans="1:3" x14ac:dyDescent="0.25">
      <c r="A31" t="s">
        <v>739</v>
      </c>
      <c r="B31" s="1" t="s">
        <v>30</v>
      </c>
      <c r="C31" s="2" t="s">
        <v>742</v>
      </c>
    </row>
    <row r="32" spans="1:3" x14ac:dyDescent="0.25">
      <c r="A32" t="s">
        <v>744</v>
      </c>
      <c r="B32" s="3" t="s">
        <v>31</v>
      </c>
      <c r="C32" s="4" t="s">
        <v>743</v>
      </c>
    </row>
    <row r="33" spans="1:3" x14ac:dyDescent="0.25">
      <c r="A33" t="s">
        <v>744</v>
      </c>
      <c r="B33" s="1" t="s">
        <v>32</v>
      </c>
      <c r="C33" s="2" t="s">
        <v>745</v>
      </c>
    </row>
    <row r="34" spans="1:3" x14ac:dyDescent="0.25">
      <c r="A34" t="s">
        <v>747</v>
      </c>
      <c r="B34" s="3" t="s">
        <v>33</v>
      </c>
      <c r="C34" s="4" t="s">
        <v>746</v>
      </c>
    </row>
    <row r="35" spans="1:3" x14ac:dyDescent="0.25">
      <c r="A35" t="s">
        <v>749</v>
      </c>
      <c r="B35" s="1" t="s">
        <v>34</v>
      </c>
      <c r="C35" s="2" t="s">
        <v>748</v>
      </c>
    </row>
    <row r="36" spans="1:3" x14ac:dyDescent="0.25">
      <c r="A36" t="s">
        <v>749</v>
      </c>
      <c r="B36" s="3" t="s">
        <v>35</v>
      </c>
      <c r="C36" s="4" t="s">
        <v>750</v>
      </c>
    </row>
    <row r="37" spans="1:3" x14ac:dyDescent="0.25">
      <c r="A37" t="s">
        <v>752</v>
      </c>
      <c r="B37" s="1" t="s">
        <v>36</v>
      </c>
      <c r="C37" s="2" t="s">
        <v>751</v>
      </c>
    </row>
    <row r="38" spans="1:3" x14ac:dyDescent="0.25">
      <c r="A38" t="s">
        <v>754</v>
      </c>
      <c r="B38" s="3" t="s">
        <v>37</v>
      </c>
      <c r="C38" s="4" t="s">
        <v>753</v>
      </c>
    </row>
    <row r="39" spans="1:3" x14ac:dyDescent="0.25">
      <c r="A39" t="s">
        <v>754</v>
      </c>
      <c r="B39" s="1" t="s">
        <v>38</v>
      </c>
      <c r="C39" s="2" t="s">
        <v>755</v>
      </c>
    </row>
    <row r="40" spans="1:3" x14ac:dyDescent="0.25">
      <c r="A40" t="s">
        <v>757</v>
      </c>
      <c r="B40" s="3" t="s">
        <v>39</v>
      </c>
      <c r="C40" s="4" t="s">
        <v>756</v>
      </c>
    </row>
    <row r="41" spans="1:3" x14ac:dyDescent="0.25">
      <c r="A41" t="s">
        <v>759</v>
      </c>
      <c r="B41" s="1" t="s">
        <v>40</v>
      </c>
      <c r="C41" s="2" t="s">
        <v>758</v>
      </c>
    </row>
    <row r="42" spans="1:3" x14ac:dyDescent="0.25">
      <c r="A42" t="s">
        <v>761</v>
      </c>
      <c r="B42" s="3" t="s">
        <v>41</v>
      </c>
      <c r="C42" s="4" t="s">
        <v>760</v>
      </c>
    </row>
    <row r="43" spans="1:3" x14ac:dyDescent="0.25">
      <c r="A43" t="s">
        <v>763</v>
      </c>
      <c r="B43" s="1" t="s">
        <v>42</v>
      </c>
      <c r="C43" s="2" t="s">
        <v>762</v>
      </c>
    </row>
    <row r="44" spans="1:3" x14ac:dyDescent="0.25">
      <c r="A44" t="s">
        <v>765</v>
      </c>
      <c r="B44" s="3" t="s">
        <v>43</v>
      </c>
      <c r="C44" s="4" t="s">
        <v>764</v>
      </c>
    </row>
    <row r="45" spans="1:3" x14ac:dyDescent="0.25">
      <c r="A45" t="s">
        <v>767</v>
      </c>
      <c r="B45" s="1" t="s">
        <v>44</v>
      </c>
      <c r="C45" s="2" t="s">
        <v>766</v>
      </c>
    </row>
    <row r="46" spans="1:3" x14ac:dyDescent="0.25">
      <c r="A46" t="s">
        <v>769</v>
      </c>
      <c r="B46" s="3" t="s">
        <v>45</v>
      </c>
      <c r="C46" s="4" t="s">
        <v>768</v>
      </c>
    </row>
    <row r="47" spans="1:3" x14ac:dyDescent="0.25">
      <c r="A47" t="s">
        <v>771</v>
      </c>
      <c r="B47" s="1" t="s">
        <v>46</v>
      </c>
      <c r="C47" s="2" t="s">
        <v>770</v>
      </c>
    </row>
    <row r="48" spans="1:3" x14ac:dyDescent="0.25">
      <c r="A48" t="s">
        <v>773</v>
      </c>
      <c r="B48" s="3" t="s">
        <v>47</v>
      </c>
      <c r="C48" s="4" t="s">
        <v>772</v>
      </c>
    </row>
    <row r="49" spans="1:3" x14ac:dyDescent="0.25">
      <c r="A49" t="s">
        <v>1039</v>
      </c>
      <c r="B49" s="1" t="s">
        <v>48</v>
      </c>
      <c r="C49" s="2" t="s">
        <v>774</v>
      </c>
    </row>
    <row r="50" spans="1:3" x14ac:dyDescent="0.25">
      <c r="A50" t="s">
        <v>1040</v>
      </c>
      <c r="B50" s="1" t="s">
        <v>48</v>
      </c>
      <c r="C50" s="2" t="s">
        <v>774</v>
      </c>
    </row>
    <row r="51" spans="1:3" x14ac:dyDescent="0.25">
      <c r="A51" t="s">
        <v>1041</v>
      </c>
      <c r="B51" s="1" t="s">
        <v>48</v>
      </c>
      <c r="C51" s="2" t="s">
        <v>774</v>
      </c>
    </row>
    <row r="52" spans="1:3" x14ac:dyDescent="0.25">
      <c r="A52" t="s">
        <v>776</v>
      </c>
      <c r="B52" s="3" t="s">
        <v>49</v>
      </c>
      <c r="C52" s="4" t="s">
        <v>775</v>
      </c>
    </row>
    <row r="53" spans="1:3" x14ac:dyDescent="0.25">
      <c r="A53" t="s">
        <v>778</v>
      </c>
      <c r="B53" s="1" t="s">
        <v>50</v>
      </c>
      <c r="C53" s="2" t="s">
        <v>777</v>
      </c>
    </row>
    <row r="54" spans="1:3" x14ac:dyDescent="0.25">
      <c r="A54" t="s">
        <v>780</v>
      </c>
      <c r="B54" s="3" t="s">
        <v>51</v>
      </c>
      <c r="C54" s="4" t="s">
        <v>779</v>
      </c>
    </row>
    <row r="55" spans="1:3" x14ac:dyDescent="0.25">
      <c r="A55" t="s">
        <v>782</v>
      </c>
      <c r="B55" s="1" t="s">
        <v>52</v>
      </c>
      <c r="C55" s="2" t="s">
        <v>781</v>
      </c>
    </row>
    <row r="56" spans="1:3" x14ac:dyDescent="0.25">
      <c r="A56" t="s">
        <v>784</v>
      </c>
      <c r="B56" s="3" t="s">
        <v>53</v>
      </c>
      <c r="C56" s="4" t="s">
        <v>783</v>
      </c>
    </row>
    <row r="57" spans="1:3" x14ac:dyDescent="0.25">
      <c r="A57" t="s">
        <v>786</v>
      </c>
      <c r="B57" s="1" t="s">
        <v>54</v>
      </c>
      <c r="C57" s="2" t="s">
        <v>785</v>
      </c>
    </row>
    <row r="58" spans="1:3" x14ac:dyDescent="0.25">
      <c r="A58" t="s">
        <v>788</v>
      </c>
      <c r="B58" s="3" t="s">
        <v>55</v>
      </c>
      <c r="C58" s="4" t="s">
        <v>787</v>
      </c>
    </row>
    <row r="59" spans="1:3" x14ac:dyDescent="0.25">
      <c r="A59" t="s">
        <v>790</v>
      </c>
      <c r="B59" s="1" t="s">
        <v>56</v>
      </c>
      <c r="C59" s="2" t="s">
        <v>789</v>
      </c>
    </row>
    <row r="60" spans="1:3" x14ac:dyDescent="0.25">
      <c r="A60" t="s">
        <v>792</v>
      </c>
      <c r="B60" s="3" t="s">
        <v>57</v>
      </c>
      <c r="C60" s="4" t="s">
        <v>791</v>
      </c>
    </row>
    <row r="61" spans="1:3" x14ac:dyDescent="0.25">
      <c r="A61" t="s">
        <v>794</v>
      </c>
      <c r="B61" s="1" t="s">
        <v>58</v>
      </c>
      <c r="C61" s="2" t="s">
        <v>793</v>
      </c>
    </row>
    <row r="62" spans="1:3" x14ac:dyDescent="0.25">
      <c r="A62" t="s">
        <v>796</v>
      </c>
      <c r="B62" s="3" t="s">
        <v>59</v>
      </c>
      <c r="C62" s="4" t="s">
        <v>795</v>
      </c>
    </row>
    <row r="63" spans="1:3" x14ac:dyDescent="0.25">
      <c r="A63" t="s">
        <v>798</v>
      </c>
      <c r="B63" s="1" t="s">
        <v>60</v>
      </c>
      <c r="C63" s="2" t="s">
        <v>797</v>
      </c>
    </row>
    <row r="64" spans="1:3" x14ac:dyDescent="0.25">
      <c r="A64" t="s">
        <v>800</v>
      </c>
      <c r="B64" s="3" t="s">
        <v>61</v>
      </c>
      <c r="C64" s="4" t="s">
        <v>799</v>
      </c>
    </row>
    <row r="65" spans="1:3" x14ac:dyDescent="0.25">
      <c r="A65" t="s">
        <v>802</v>
      </c>
      <c r="B65" s="1" t="s">
        <v>62</v>
      </c>
      <c r="C65" s="2" t="s">
        <v>801</v>
      </c>
    </row>
    <row r="66" spans="1:3" x14ac:dyDescent="0.25">
      <c r="A66" t="s">
        <v>804</v>
      </c>
      <c r="B66" s="3" t="s">
        <v>63</v>
      </c>
      <c r="C66" s="4" t="s">
        <v>803</v>
      </c>
    </row>
    <row r="67" spans="1:3" x14ac:dyDescent="0.25">
      <c r="A67" t="s">
        <v>806</v>
      </c>
      <c r="B67" s="1" t="s">
        <v>64</v>
      </c>
      <c r="C67" s="2" t="s">
        <v>805</v>
      </c>
    </row>
    <row r="68" spans="1:3" x14ac:dyDescent="0.25">
      <c r="A68" t="s">
        <v>808</v>
      </c>
      <c r="B68" s="3" t="s">
        <v>65</v>
      </c>
      <c r="C68" s="4" t="s">
        <v>807</v>
      </c>
    </row>
    <row r="69" spans="1:3" x14ac:dyDescent="0.25">
      <c r="A69" t="s">
        <v>810</v>
      </c>
      <c r="B69" s="1" t="s">
        <v>66</v>
      </c>
      <c r="C69" s="2" t="s">
        <v>809</v>
      </c>
    </row>
    <row r="70" spans="1:3" x14ac:dyDescent="0.25">
      <c r="A70" t="s">
        <v>812</v>
      </c>
      <c r="B70" s="3" t="s">
        <v>67</v>
      </c>
      <c r="C70" s="4" t="s">
        <v>811</v>
      </c>
    </row>
    <row r="71" spans="1:3" x14ac:dyDescent="0.25">
      <c r="A71" t="s">
        <v>814</v>
      </c>
      <c r="B71" s="1" t="s">
        <v>68</v>
      </c>
      <c r="C71" s="2" t="s">
        <v>813</v>
      </c>
    </row>
    <row r="72" spans="1:3" x14ac:dyDescent="0.25">
      <c r="A72" t="s">
        <v>816</v>
      </c>
      <c r="B72" s="3" t="s">
        <v>69</v>
      </c>
      <c r="C72" s="4" t="s">
        <v>815</v>
      </c>
    </row>
    <row r="73" spans="1:3" x14ac:dyDescent="0.25">
      <c r="A73" t="s">
        <v>818</v>
      </c>
      <c r="B73" s="1" t="s">
        <v>70</v>
      </c>
      <c r="C73" s="2" t="s">
        <v>817</v>
      </c>
    </row>
    <row r="74" spans="1:3" x14ac:dyDescent="0.25">
      <c r="A74" t="s">
        <v>820</v>
      </c>
      <c r="B74" s="3" t="s">
        <v>71</v>
      </c>
      <c r="C74" s="4" t="s">
        <v>819</v>
      </c>
    </row>
    <row r="75" spans="1:3" x14ac:dyDescent="0.25">
      <c r="A75" t="s">
        <v>822</v>
      </c>
      <c r="B75" s="1" t="s">
        <v>72</v>
      </c>
      <c r="C75" s="2" t="s">
        <v>821</v>
      </c>
    </row>
    <row r="76" spans="1:3" x14ac:dyDescent="0.25">
      <c r="A76" t="s">
        <v>824</v>
      </c>
      <c r="B76" s="3" t="s">
        <v>73</v>
      </c>
      <c r="C76" s="4" t="s">
        <v>823</v>
      </c>
    </row>
    <row r="77" spans="1:3" x14ac:dyDescent="0.25">
      <c r="A77" t="s">
        <v>826</v>
      </c>
      <c r="B77" s="1" t="s">
        <v>74</v>
      </c>
      <c r="C77" s="2" t="s">
        <v>825</v>
      </c>
    </row>
    <row r="78" spans="1:3" x14ac:dyDescent="0.25">
      <c r="A78" t="s">
        <v>828</v>
      </c>
      <c r="B78" s="3" t="s">
        <v>75</v>
      </c>
      <c r="C78" s="4" t="s">
        <v>827</v>
      </c>
    </row>
    <row r="79" spans="1:3" x14ac:dyDescent="0.25">
      <c r="A79" t="s">
        <v>830</v>
      </c>
      <c r="B79" s="1" t="s">
        <v>76</v>
      </c>
      <c r="C79" s="2" t="s">
        <v>829</v>
      </c>
    </row>
    <row r="80" spans="1:3" x14ac:dyDescent="0.25">
      <c r="A80" t="s">
        <v>832</v>
      </c>
      <c r="B80" s="3" t="s">
        <v>77</v>
      </c>
      <c r="C80" s="4" t="s">
        <v>831</v>
      </c>
    </row>
    <row r="81" spans="1:3" x14ac:dyDescent="0.25">
      <c r="A81" t="s">
        <v>834</v>
      </c>
      <c r="B81" s="1" t="s">
        <v>78</v>
      </c>
      <c r="C81" s="2" t="s">
        <v>833</v>
      </c>
    </row>
    <row r="82" spans="1:3" x14ac:dyDescent="0.25">
      <c r="A82" t="s">
        <v>836</v>
      </c>
      <c r="B82" s="3" t="s">
        <v>79</v>
      </c>
      <c r="C82" s="4" t="s">
        <v>835</v>
      </c>
    </row>
    <row r="83" spans="1:3" x14ac:dyDescent="0.25">
      <c r="A83" t="s">
        <v>838</v>
      </c>
      <c r="B83" s="1" t="s">
        <v>80</v>
      </c>
      <c r="C83" s="2" t="s">
        <v>837</v>
      </c>
    </row>
    <row r="84" spans="1:3" x14ac:dyDescent="0.25">
      <c r="A84" t="s">
        <v>840</v>
      </c>
      <c r="B84" s="3" t="s">
        <v>81</v>
      </c>
      <c r="C84" s="4" t="s">
        <v>839</v>
      </c>
    </row>
    <row r="85" spans="1:3" x14ac:dyDescent="0.25">
      <c r="A85" t="s">
        <v>842</v>
      </c>
      <c r="B85" s="1" t="s">
        <v>82</v>
      </c>
      <c r="C85" s="2" t="s">
        <v>841</v>
      </c>
    </row>
    <row r="86" spans="1:3" x14ac:dyDescent="0.25">
      <c r="A86" t="s">
        <v>844</v>
      </c>
      <c r="B86" s="3" t="s">
        <v>83</v>
      </c>
      <c r="C86" s="4" t="s">
        <v>843</v>
      </c>
    </row>
    <row r="87" spans="1:3" x14ac:dyDescent="0.25">
      <c r="A87" t="s">
        <v>846</v>
      </c>
      <c r="B87" s="1" t="s">
        <v>84</v>
      </c>
      <c r="C87" s="2" t="s">
        <v>845</v>
      </c>
    </row>
    <row r="88" spans="1:3" x14ac:dyDescent="0.25">
      <c r="A88" t="s">
        <v>848</v>
      </c>
      <c r="B88" s="3" t="s">
        <v>85</v>
      </c>
      <c r="C88" s="4" t="s">
        <v>847</v>
      </c>
    </row>
    <row r="89" spans="1:3" x14ac:dyDescent="0.25">
      <c r="A89" t="s">
        <v>850</v>
      </c>
      <c r="B89" s="1" t="s">
        <v>86</v>
      </c>
      <c r="C89" s="2" t="s">
        <v>849</v>
      </c>
    </row>
    <row r="90" spans="1:3" x14ac:dyDescent="0.25">
      <c r="A90" t="s">
        <v>852</v>
      </c>
      <c r="B90" s="3" t="s">
        <v>87</v>
      </c>
      <c r="C90" s="4" t="s">
        <v>851</v>
      </c>
    </row>
    <row r="91" spans="1:3" x14ac:dyDescent="0.25">
      <c r="A91" t="s">
        <v>854</v>
      </c>
      <c r="B91" s="1" t="s">
        <v>88</v>
      </c>
      <c r="C91" s="2" t="s">
        <v>853</v>
      </c>
    </row>
    <row r="92" spans="1:3" x14ac:dyDescent="0.25">
      <c r="A92" t="s">
        <v>856</v>
      </c>
      <c r="B92" s="3" t="s">
        <v>89</v>
      </c>
      <c r="C92" s="4" t="s">
        <v>855</v>
      </c>
    </row>
    <row r="93" spans="1:3" x14ac:dyDescent="0.25">
      <c r="A93" t="s">
        <v>858</v>
      </c>
      <c r="B93" s="1" t="s">
        <v>90</v>
      </c>
      <c r="C93" s="2" t="s">
        <v>857</v>
      </c>
    </row>
    <row r="94" spans="1:3" x14ac:dyDescent="0.25">
      <c r="A94" t="s">
        <v>860</v>
      </c>
      <c r="B94" s="3" t="s">
        <v>91</v>
      </c>
      <c r="C94" s="4" t="s">
        <v>859</v>
      </c>
    </row>
    <row r="95" spans="1:3" x14ac:dyDescent="0.25">
      <c r="A95" t="s">
        <v>862</v>
      </c>
      <c r="B95" s="1" t="s">
        <v>92</v>
      </c>
      <c r="C95" s="2" t="s">
        <v>861</v>
      </c>
    </row>
    <row r="96" spans="1:3" x14ac:dyDescent="0.25">
      <c r="A96" t="s">
        <v>864</v>
      </c>
      <c r="B96" s="3" t="s">
        <v>93</v>
      </c>
      <c r="C96" s="4" t="s">
        <v>863</v>
      </c>
    </row>
    <row r="97" spans="1:3" x14ac:dyDescent="0.25">
      <c r="A97" t="s">
        <v>866</v>
      </c>
      <c r="B97" s="1" t="s">
        <v>94</v>
      </c>
      <c r="C97" s="2" t="s">
        <v>865</v>
      </c>
    </row>
    <row r="98" spans="1:3" x14ac:dyDescent="0.25">
      <c r="A98" t="s">
        <v>868</v>
      </c>
      <c r="B98" s="3" t="s">
        <v>95</v>
      </c>
      <c r="C98" s="4" t="s">
        <v>867</v>
      </c>
    </row>
    <row r="99" spans="1:3" x14ac:dyDescent="0.25">
      <c r="A99" t="s">
        <v>870</v>
      </c>
      <c r="B99" s="1" t="s">
        <v>96</v>
      </c>
      <c r="C99" s="2" t="s">
        <v>869</v>
      </c>
    </row>
    <row r="100" spans="1:3" x14ac:dyDescent="0.25">
      <c r="A100" t="s">
        <v>872</v>
      </c>
      <c r="B100" s="3" t="s">
        <v>97</v>
      </c>
      <c r="C100" s="4" t="s">
        <v>871</v>
      </c>
    </row>
    <row r="101" spans="1:3" x14ac:dyDescent="0.25">
      <c r="A101" t="s">
        <v>874</v>
      </c>
      <c r="B101" s="1" t="s">
        <v>98</v>
      </c>
      <c r="C101" s="2" t="s">
        <v>873</v>
      </c>
    </row>
    <row r="102" spans="1:3" x14ac:dyDescent="0.25">
      <c r="A102" t="s">
        <v>876</v>
      </c>
      <c r="B102" s="3" t="s">
        <v>99</v>
      </c>
      <c r="C102" s="4" t="s">
        <v>875</v>
      </c>
    </row>
    <row r="103" spans="1:3" x14ac:dyDescent="0.25">
      <c r="A103" t="s">
        <v>878</v>
      </c>
      <c r="B103" s="1" t="s">
        <v>100</v>
      </c>
      <c r="C103" s="2" t="s">
        <v>877</v>
      </c>
    </row>
    <row r="104" spans="1:3" x14ac:dyDescent="0.25">
      <c r="A104" t="s">
        <v>880</v>
      </c>
      <c r="B104" s="3" t="s">
        <v>101</v>
      </c>
      <c r="C104" s="4" t="s">
        <v>879</v>
      </c>
    </row>
    <row r="105" spans="1:3" x14ac:dyDescent="0.25">
      <c r="A105" t="s">
        <v>880</v>
      </c>
      <c r="B105" s="1" t="s">
        <v>102</v>
      </c>
      <c r="C105" s="2" t="s">
        <v>881</v>
      </c>
    </row>
    <row r="106" spans="1:3" x14ac:dyDescent="0.25">
      <c r="A106" t="s">
        <v>883</v>
      </c>
      <c r="B106" s="3" t="s">
        <v>103</v>
      </c>
      <c r="C106" s="4" t="s">
        <v>882</v>
      </c>
    </row>
    <row r="107" spans="1:3" x14ac:dyDescent="0.25">
      <c r="A107" t="s">
        <v>885</v>
      </c>
      <c r="B107" s="1" t="s">
        <v>104</v>
      </c>
      <c r="C107" s="2" t="s">
        <v>884</v>
      </c>
    </row>
    <row r="108" spans="1:3" x14ac:dyDescent="0.25">
      <c r="A108" t="s">
        <v>887</v>
      </c>
      <c r="B108" s="3" t="s">
        <v>105</v>
      </c>
      <c r="C108" s="4" t="s">
        <v>886</v>
      </c>
    </row>
    <row r="109" spans="1:3" x14ac:dyDescent="0.25">
      <c r="A109" t="s">
        <v>889</v>
      </c>
      <c r="B109" s="1" t="s">
        <v>106</v>
      </c>
      <c r="C109" s="2" t="s">
        <v>888</v>
      </c>
    </row>
    <row r="110" spans="1:3" x14ac:dyDescent="0.25">
      <c r="A110" t="s">
        <v>891</v>
      </c>
      <c r="B110" s="3" t="s">
        <v>107</v>
      </c>
      <c r="C110" s="4" t="s">
        <v>890</v>
      </c>
    </row>
    <row r="111" spans="1:3" x14ac:dyDescent="0.25">
      <c r="A111" t="s">
        <v>893</v>
      </c>
      <c r="B111" s="1" t="s">
        <v>108</v>
      </c>
      <c r="C111" s="2" t="s">
        <v>892</v>
      </c>
    </row>
    <row r="112" spans="1:3" x14ac:dyDescent="0.25">
      <c r="A112" t="s">
        <v>895</v>
      </c>
      <c r="B112" s="3" t="s">
        <v>109</v>
      </c>
      <c r="C112" s="4" t="s">
        <v>894</v>
      </c>
    </row>
    <row r="113" spans="1:3" x14ac:dyDescent="0.25">
      <c r="A113" t="s">
        <v>897</v>
      </c>
      <c r="B113" s="1" t="s">
        <v>110</v>
      </c>
      <c r="C113" s="2" t="s">
        <v>896</v>
      </c>
    </row>
    <row r="114" spans="1:3" x14ac:dyDescent="0.25">
      <c r="A114" t="s">
        <v>899</v>
      </c>
      <c r="B114" s="3" t="s">
        <v>111</v>
      </c>
      <c r="C114" s="4" t="s">
        <v>898</v>
      </c>
    </row>
    <row r="115" spans="1:3" x14ac:dyDescent="0.25">
      <c r="A115" t="s">
        <v>901</v>
      </c>
      <c r="B115" s="1" t="s">
        <v>112</v>
      </c>
      <c r="C115" s="2" t="s">
        <v>900</v>
      </c>
    </row>
    <row r="116" spans="1:3" x14ac:dyDescent="0.25">
      <c r="A116" t="s">
        <v>903</v>
      </c>
      <c r="B116" s="3" t="s">
        <v>113</v>
      </c>
      <c r="C116" s="4" t="s">
        <v>902</v>
      </c>
    </row>
    <row r="117" spans="1:3" x14ac:dyDescent="0.25">
      <c r="A117" t="s">
        <v>905</v>
      </c>
      <c r="B117" s="1" t="s">
        <v>114</v>
      </c>
      <c r="C117" s="2" t="s">
        <v>904</v>
      </c>
    </row>
    <row r="118" spans="1:3" x14ac:dyDescent="0.25">
      <c r="A118" t="s">
        <v>907</v>
      </c>
      <c r="B118" s="3" t="s">
        <v>115</v>
      </c>
      <c r="C118" s="4" t="s">
        <v>906</v>
      </c>
    </row>
    <row r="119" spans="1:3" x14ac:dyDescent="0.25">
      <c r="A119" t="s">
        <v>909</v>
      </c>
      <c r="B119" s="1" t="s">
        <v>116</v>
      </c>
      <c r="C119" s="2" t="s">
        <v>908</v>
      </c>
    </row>
    <row r="120" spans="1:3" x14ac:dyDescent="0.25">
      <c r="A120" t="s">
        <v>911</v>
      </c>
      <c r="B120" s="3" t="s">
        <v>117</v>
      </c>
      <c r="C120" s="4" t="s">
        <v>910</v>
      </c>
    </row>
    <row r="121" spans="1:3" x14ac:dyDescent="0.25">
      <c r="A121" t="s">
        <v>913</v>
      </c>
      <c r="B121" s="1" t="s">
        <v>118</v>
      </c>
      <c r="C121" s="2" t="s">
        <v>912</v>
      </c>
    </row>
    <row r="122" spans="1:3" x14ac:dyDescent="0.25">
      <c r="A122" t="s">
        <v>915</v>
      </c>
      <c r="B122" s="3" t="s">
        <v>119</v>
      </c>
      <c r="C122" s="4" t="s">
        <v>914</v>
      </c>
    </row>
    <row r="123" spans="1:3" x14ac:dyDescent="0.25">
      <c r="A123" t="s">
        <v>917</v>
      </c>
      <c r="B123" s="1" t="s">
        <v>120</v>
      </c>
      <c r="C123" s="2" t="s">
        <v>916</v>
      </c>
    </row>
    <row r="124" spans="1:3" x14ac:dyDescent="0.25">
      <c r="A124" t="s">
        <v>919</v>
      </c>
      <c r="B124" s="3" t="s">
        <v>121</v>
      </c>
      <c r="C124" s="4" t="s">
        <v>918</v>
      </c>
    </row>
    <row r="125" spans="1:3" x14ac:dyDescent="0.25">
      <c r="A125" t="s">
        <v>921</v>
      </c>
      <c r="B125" s="1" t="s">
        <v>122</v>
      </c>
      <c r="C125" s="2" t="s">
        <v>920</v>
      </c>
    </row>
    <row r="126" spans="1:3" x14ac:dyDescent="0.25">
      <c r="A126" t="s">
        <v>923</v>
      </c>
      <c r="B126" s="3" t="s">
        <v>123</v>
      </c>
      <c r="C126" s="4" t="s">
        <v>922</v>
      </c>
    </row>
    <row r="127" spans="1:3" x14ac:dyDescent="0.25">
      <c r="A127" t="s">
        <v>925</v>
      </c>
      <c r="B127" s="1" t="s">
        <v>124</v>
      </c>
      <c r="C127" s="2" t="s">
        <v>924</v>
      </c>
    </row>
    <row r="128" spans="1:3" x14ac:dyDescent="0.25">
      <c r="A128" t="s">
        <v>927</v>
      </c>
      <c r="B128" s="3" t="s">
        <v>125</v>
      </c>
      <c r="C128" s="4" t="s">
        <v>926</v>
      </c>
    </row>
    <row r="129" spans="1:3" x14ac:dyDescent="0.25">
      <c r="A129" t="s">
        <v>929</v>
      </c>
      <c r="B129" s="1" t="s">
        <v>126</v>
      </c>
      <c r="C129" s="2" t="s">
        <v>928</v>
      </c>
    </row>
    <row r="130" spans="1:3" x14ac:dyDescent="0.25">
      <c r="A130" t="s">
        <v>931</v>
      </c>
      <c r="B130" s="3" t="s">
        <v>127</v>
      </c>
      <c r="C130" s="4" t="s">
        <v>930</v>
      </c>
    </row>
    <row r="131" spans="1:3" x14ac:dyDescent="0.25">
      <c r="A131" t="s">
        <v>933</v>
      </c>
      <c r="B131" s="1" t="s">
        <v>128</v>
      </c>
      <c r="C131" s="2" t="s">
        <v>932</v>
      </c>
    </row>
    <row r="132" spans="1:3" x14ac:dyDescent="0.25">
      <c r="A132" t="s">
        <v>935</v>
      </c>
      <c r="B132" s="3" t="s">
        <v>129</v>
      </c>
      <c r="C132" s="4" t="s">
        <v>934</v>
      </c>
    </row>
    <row r="133" spans="1:3" x14ac:dyDescent="0.25">
      <c r="A133" t="s">
        <v>937</v>
      </c>
      <c r="B133" s="1" t="s">
        <v>130</v>
      </c>
      <c r="C133" s="2" t="s">
        <v>936</v>
      </c>
    </row>
    <row r="134" spans="1:3" x14ac:dyDescent="0.25">
      <c r="A134" t="s">
        <v>939</v>
      </c>
      <c r="B134" s="3" t="s">
        <v>131</v>
      </c>
      <c r="C134" s="4" t="s">
        <v>938</v>
      </c>
    </row>
    <row r="135" spans="1:3" x14ac:dyDescent="0.25">
      <c r="A135" t="s">
        <v>941</v>
      </c>
      <c r="B135" s="1" t="s">
        <v>132</v>
      </c>
      <c r="C135" s="2" t="s">
        <v>940</v>
      </c>
    </row>
    <row r="136" spans="1:3" x14ac:dyDescent="0.25">
      <c r="A136" t="s">
        <v>943</v>
      </c>
      <c r="B136" s="3" t="s">
        <v>133</v>
      </c>
      <c r="C136" s="4" t="s">
        <v>942</v>
      </c>
    </row>
    <row r="137" spans="1:3" x14ac:dyDescent="0.25">
      <c r="A137" t="s">
        <v>945</v>
      </c>
      <c r="B137" s="1" t="s">
        <v>134</v>
      </c>
      <c r="C137" s="2" t="s">
        <v>944</v>
      </c>
    </row>
    <row r="138" spans="1:3" x14ac:dyDescent="0.25">
      <c r="A138" t="s">
        <v>947</v>
      </c>
      <c r="B138" s="3" t="s">
        <v>135</v>
      </c>
      <c r="C138" s="4" t="s">
        <v>946</v>
      </c>
    </row>
    <row r="139" spans="1:3" x14ac:dyDescent="0.25">
      <c r="A139" t="s">
        <v>949</v>
      </c>
      <c r="B139" s="1" t="s">
        <v>136</v>
      </c>
      <c r="C139" s="2" t="s">
        <v>948</v>
      </c>
    </row>
    <row r="140" spans="1:3" x14ac:dyDescent="0.25">
      <c r="A140" t="s">
        <v>951</v>
      </c>
      <c r="B140" s="3" t="s">
        <v>137</v>
      </c>
      <c r="C140" s="4" t="s">
        <v>950</v>
      </c>
    </row>
    <row r="141" spans="1:3" x14ac:dyDescent="0.25">
      <c r="A141" t="s">
        <v>953</v>
      </c>
      <c r="B141" s="1" t="s">
        <v>138</v>
      </c>
      <c r="C141" s="2" t="s">
        <v>952</v>
      </c>
    </row>
    <row r="142" spans="1:3" x14ac:dyDescent="0.25">
      <c r="A142" t="s">
        <v>955</v>
      </c>
      <c r="B142" s="3" t="s">
        <v>139</v>
      </c>
      <c r="C142" s="4" t="s">
        <v>954</v>
      </c>
    </row>
    <row r="143" spans="1:3" x14ac:dyDescent="0.25">
      <c r="A143" t="s">
        <v>957</v>
      </c>
      <c r="B143" s="1" t="s">
        <v>140</v>
      </c>
      <c r="C143" s="2" t="s">
        <v>956</v>
      </c>
    </row>
    <row r="144" spans="1:3" x14ac:dyDescent="0.25">
      <c r="A144" t="s">
        <v>959</v>
      </c>
      <c r="B144" s="3" t="s">
        <v>141</v>
      </c>
      <c r="C144" s="4" t="s">
        <v>958</v>
      </c>
    </row>
    <row r="145" spans="1:3" x14ac:dyDescent="0.25">
      <c r="A145" t="s">
        <v>961</v>
      </c>
      <c r="B145" s="1" t="s">
        <v>142</v>
      </c>
      <c r="C145" s="2" t="s">
        <v>960</v>
      </c>
    </row>
    <row r="146" spans="1:3" x14ac:dyDescent="0.25">
      <c r="A146" t="s">
        <v>963</v>
      </c>
      <c r="B146" s="3" t="s">
        <v>143</v>
      </c>
      <c r="C146" s="4" t="s">
        <v>962</v>
      </c>
    </row>
    <row r="147" spans="1:3" x14ac:dyDescent="0.25">
      <c r="A147" t="s">
        <v>965</v>
      </c>
      <c r="B147" s="1" t="s">
        <v>144</v>
      </c>
      <c r="C147" s="2" t="s">
        <v>964</v>
      </c>
    </row>
    <row r="148" spans="1:3" x14ac:dyDescent="0.25">
      <c r="A148" t="s">
        <v>967</v>
      </c>
      <c r="B148" s="3" t="s">
        <v>145</v>
      </c>
      <c r="C148" s="4" t="s">
        <v>966</v>
      </c>
    </row>
    <row r="149" spans="1:3" x14ac:dyDescent="0.25">
      <c r="A149" t="s">
        <v>969</v>
      </c>
      <c r="B149" s="1" t="s">
        <v>146</v>
      </c>
      <c r="C149" s="2" t="s">
        <v>968</v>
      </c>
    </row>
    <row r="150" spans="1:3" x14ac:dyDescent="0.25">
      <c r="A150" t="s">
        <v>971</v>
      </c>
      <c r="B150" s="3" t="s">
        <v>147</v>
      </c>
      <c r="C150" s="4" t="s">
        <v>970</v>
      </c>
    </row>
    <row r="151" spans="1:3" x14ac:dyDescent="0.25">
      <c r="A151" t="s">
        <v>973</v>
      </c>
      <c r="B151" s="1" t="s">
        <v>148</v>
      </c>
      <c r="C151" s="2" t="s">
        <v>972</v>
      </c>
    </row>
    <row r="152" spans="1:3" x14ac:dyDescent="0.25">
      <c r="A152" t="s">
        <v>975</v>
      </c>
      <c r="B152" s="3" t="s">
        <v>149</v>
      </c>
      <c r="C152" s="4" t="s">
        <v>974</v>
      </c>
    </row>
    <row r="153" spans="1:3" x14ac:dyDescent="0.25">
      <c r="A153" t="s">
        <v>1042</v>
      </c>
      <c r="B153" s="1" t="s">
        <v>150</v>
      </c>
      <c r="C153" s="2" t="s">
        <v>976</v>
      </c>
    </row>
    <row r="154" spans="1:3" x14ac:dyDescent="0.25">
      <c r="A154" t="s">
        <v>1043</v>
      </c>
      <c r="B154" s="1" t="s">
        <v>150</v>
      </c>
      <c r="C154" s="2" t="s">
        <v>976</v>
      </c>
    </row>
    <row r="155" spans="1:3" x14ac:dyDescent="0.25">
      <c r="A155" t="s">
        <v>978</v>
      </c>
      <c r="B155" s="3" t="s">
        <v>151</v>
      </c>
      <c r="C155" s="4" t="s">
        <v>977</v>
      </c>
    </row>
    <row r="156" spans="1:3" x14ac:dyDescent="0.25">
      <c r="A156" t="s">
        <v>978</v>
      </c>
      <c r="B156" s="1" t="s">
        <v>152</v>
      </c>
      <c r="C156" s="2" t="s">
        <v>979</v>
      </c>
    </row>
    <row r="157" spans="1:3" x14ac:dyDescent="0.25">
      <c r="A157" t="s">
        <v>981</v>
      </c>
      <c r="B157" s="3" t="s">
        <v>153</v>
      </c>
      <c r="C157" s="4" t="s">
        <v>980</v>
      </c>
    </row>
    <row r="158" spans="1:3" x14ac:dyDescent="0.25">
      <c r="A158" t="s">
        <v>981</v>
      </c>
      <c r="B158" s="1" t="s">
        <v>154</v>
      </c>
      <c r="C158" s="2" t="s">
        <v>982</v>
      </c>
    </row>
    <row r="159" spans="1:3" x14ac:dyDescent="0.25">
      <c r="A159" t="s">
        <v>984</v>
      </c>
      <c r="B159" s="3" t="s">
        <v>155</v>
      </c>
      <c r="C159" s="4" t="s">
        <v>983</v>
      </c>
    </row>
    <row r="160" spans="1:3" x14ac:dyDescent="0.25">
      <c r="A160" t="s">
        <v>986</v>
      </c>
      <c r="B160" s="1" t="s">
        <v>156</v>
      </c>
      <c r="C160" s="2" t="s">
        <v>985</v>
      </c>
    </row>
    <row r="161" spans="1:3" x14ac:dyDescent="0.25">
      <c r="A161" t="s">
        <v>988</v>
      </c>
      <c r="B161" s="3" t="s">
        <v>157</v>
      </c>
      <c r="C161" s="4" t="s">
        <v>987</v>
      </c>
    </row>
    <row r="162" spans="1:3" x14ac:dyDescent="0.25">
      <c r="A162" t="s">
        <v>990</v>
      </c>
      <c r="B162" s="1" t="s">
        <v>158</v>
      </c>
      <c r="C162" s="2" t="s">
        <v>989</v>
      </c>
    </row>
    <row r="163" spans="1:3" x14ac:dyDescent="0.25">
      <c r="A163" t="s">
        <v>992</v>
      </c>
      <c r="B163" s="3" t="s">
        <v>159</v>
      </c>
      <c r="C163" s="4" t="s">
        <v>991</v>
      </c>
    </row>
    <row r="164" spans="1:3" x14ac:dyDescent="0.25">
      <c r="A164" t="s">
        <v>994</v>
      </c>
      <c r="B164" s="1" t="s">
        <v>160</v>
      </c>
      <c r="C164" s="2" t="s">
        <v>993</v>
      </c>
    </row>
    <row r="165" spans="1:3" x14ac:dyDescent="0.25">
      <c r="A165" t="s">
        <v>996</v>
      </c>
      <c r="B165" s="3" t="s">
        <v>161</v>
      </c>
      <c r="C165" s="4" t="s">
        <v>995</v>
      </c>
    </row>
    <row r="166" spans="1:3" x14ac:dyDescent="0.25">
      <c r="A166" t="s">
        <v>998</v>
      </c>
      <c r="B166" s="1" t="s">
        <v>162</v>
      </c>
      <c r="C166" s="2" t="s">
        <v>997</v>
      </c>
    </row>
    <row r="167" spans="1:3" x14ac:dyDescent="0.25">
      <c r="A167" t="s">
        <v>1000</v>
      </c>
      <c r="B167" s="3" t="s">
        <v>163</v>
      </c>
      <c r="C167" s="4" t="s">
        <v>999</v>
      </c>
    </row>
    <row r="168" spans="1:3" x14ac:dyDescent="0.25">
      <c r="A168" t="s">
        <v>1002</v>
      </c>
      <c r="B168" s="1" t="s">
        <v>164</v>
      </c>
      <c r="C168" s="2" t="s">
        <v>1001</v>
      </c>
    </row>
    <row r="169" spans="1:3" x14ac:dyDescent="0.25">
      <c r="A169" t="s">
        <v>1004</v>
      </c>
      <c r="B169" s="3" t="s">
        <v>165</v>
      </c>
      <c r="C169" s="4" t="s">
        <v>1003</v>
      </c>
    </row>
    <row r="170" spans="1:3" x14ac:dyDescent="0.25">
      <c r="A170" t="s">
        <v>1006</v>
      </c>
      <c r="B170" s="1" t="s">
        <v>166</v>
      </c>
      <c r="C170" s="2" t="s">
        <v>1005</v>
      </c>
    </row>
    <row r="171" spans="1:3" x14ac:dyDescent="0.25">
      <c r="A171" t="s">
        <v>1008</v>
      </c>
      <c r="B171" s="3" t="s">
        <v>167</v>
      </c>
      <c r="C171" s="4" t="s">
        <v>1007</v>
      </c>
    </row>
    <row r="172" spans="1:3" x14ac:dyDescent="0.25">
      <c r="A172" t="s">
        <v>1010</v>
      </c>
      <c r="B172" s="1" t="s">
        <v>168</v>
      </c>
      <c r="C172" s="2" t="s">
        <v>1009</v>
      </c>
    </row>
    <row r="173" spans="1:3" x14ac:dyDescent="0.25">
      <c r="A173" t="s">
        <v>1012</v>
      </c>
      <c r="B173" s="3" t="s">
        <v>169</v>
      </c>
      <c r="C173" s="4" t="s">
        <v>1011</v>
      </c>
    </row>
    <row r="174" spans="1:3" x14ac:dyDescent="0.25">
      <c r="A174" t="s">
        <v>1014</v>
      </c>
      <c r="B174" s="1" t="s">
        <v>170</v>
      </c>
      <c r="C174" s="2" t="s">
        <v>1013</v>
      </c>
    </row>
    <row r="175" spans="1:3" x14ac:dyDescent="0.25">
      <c r="A175" t="s">
        <v>1016</v>
      </c>
      <c r="B175" s="3" t="s">
        <v>171</v>
      </c>
      <c r="C175" s="4" t="s">
        <v>1015</v>
      </c>
    </row>
    <row r="176" spans="1:3" x14ac:dyDescent="0.25">
      <c r="A176" t="s">
        <v>1018</v>
      </c>
      <c r="B176" s="1" t="s">
        <v>172</v>
      </c>
      <c r="C176" s="2" t="s">
        <v>1017</v>
      </c>
    </row>
    <row r="177" spans="1:3" x14ac:dyDescent="0.25">
      <c r="A177" t="s">
        <v>1020</v>
      </c>
      <c r="B177" s="3" t="s">
        <v>173</v>
      </c>
      <c r="C177" s="4" t="s">
        <v>1019</v>
      </c>
    </row>
    <row r="178" spans="1:3" x14ac:dyDescent="0.25">
      <c r="A178" t="s">
        <v>1022</v>
      </c>
      <c r="B178" s="1" t="s">
        <v>174</v>
      </c>
      <c r="C178" s="2" t="s">
        <v>1021</v>
      </c>
    </row>
    <row r="179" spans="1:3" x14ac:dyDescent="0.25">
      <c r="A179" t="s">
        <v>1024</v>
      </c>
      <c r="B179" s="3" t="s">
        <v>175</v>
      </c>
      <c r="C179" s="4" t="s">
        <v>1023</v>
      </c>
    </row>
    <row r="180" spans="1:3" x14ac:dyDescent="0.25">
      <c r="A180" t="s">
        <v>1026</v>
      </c>
      <c r="B180" s="1" t="s">
        <v>176</v>
      </c>
      <c r="C180" s="2" t="s">
        <v>1025</v>
      </c>
    </row>
    <row r="181" spans="1:3" x14ac:dyDescent="0.25">
      <c r="A181" t="s">
        <v>1028</v>
      </c>
      <c r="B181" s="3" t="s">
        <v>177</v>
      </c>
      <c r="C181" s="4" t="s">
        <v>1027</v>
      </c>
    </row>
    <row r="182" spans="1:3" x14ac:dyDescent="0.25">
      <c r="A182" t="s">
        <v>1030</v>
      </c>
      <c r="B182" s="1" t="s">
        <v>178</v>
      </c>
      <c r="C182" s="2" t="s">
        <v>1029</v>
      </c>
    </row>
    <row r="183" spans="1:3" x14ac:dyDescent="0.25">
      <c r="A183" t="s">
        <v>1032</v>
      </c>
      <c r="B183" s="3" t="s">
        <v>179</v>
      </c>
      <c r="C183" s="4" t="s">
        <v>1031</v>
      </c>
    </row>
    <row r="184" spans="1:3" x14ac:dyDescent="0.25">
      <c r="A184" t="s">
        <v>1034</v>
      </c>
      <c r="B184" s="1" t="s">
        <v>180</v>
      </c>
      <c r="C184" s="2" t="s">
        <v>1033</v>
      </c>
    </row>
  </sheetData>
  <autoFilter ref="C1:C184"/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49"/>
  <sheetViews>
    <sheetView workbookViewId="0">
      <selection activeCell="B29" sqref="B29"/>
    </sheetView>
  </sheetViews>
  <sheetFormatPr defaultRowHeight="15" x14ac:dyDescent="0.25"/>
  <cols>
    <col min="2" max="2" width="49.42578125" bestFit="1" customWidth="1"/>
    <col min="3" max="3" width="86" customWidth="1"/>
  </cols>
  <sheetData>
    <row r="1" spans="1:2" x14ac:dyDescent="0.25">
      <c r="A1" s="3" t="s">
        <v>181</v>
      </c>
      <c r="B1" s="4" t="s">
        <v>182</v>
      </c>
    </row>
    <row r="2" spans="1:2" x14ac:dyDescent="0.25">
      <c r="A2" s="1" t="s">
        <v>183</v>
      </c>
      <c r="B2" s="2" t="s">
        <v>184</v>
      </c>
    </row>
    <row r="3" spans="1:2" x14ac:dyDescent="0.25">
      <c r="A3" s="3" t="s">
        <v>185</v>
      </c>
      <c r="B3" s="4" t="s">
        <v>186</v>
      </c>
    </row>
    <row r="4" spans="1:2" x14ac:dyDescent="0.25">
      <c r="A4" s="1" t="s">
        <v>187</v>
      </c>
      <c r="B4" s="2" t="s">
        <v>188</v>
      </c>
    </row>
    <row r="5" spans="1:2" x14ac:dyDescent="0.25">
      <c r="A5" s="3" t="s">
        <v>189</v>
      </c>
      <c r="B5" s="4" t="s">
        <v>190</v>
      </c>
    </row>
    <row r="6" spans="1:2" x14ac:dyDescent="0.25">
      <c r="A6" s="1" t="s">
        <v>191</v>
      </c>
      <c r="B6" s="2" t="s">
        <v>192</v>
      </c>
    </row>
    <row r="7" spans="1:2" x14ac:dyDescent="0.25">
      <c r="A7" s="3" t="s">
        <v>193</v>
      </c>
      <c r="B7" s="4" t="s">
        <v>194</v>
      </c>
    </row>
    <row r="8" spans="1:2" x14ac:dyDescent="0.25">
      <c r="A8" s="1" t="s">
        <v>195</v>
      </c>
      <c r="B8" s="2" t="s">
        <v>196</v>
      </c>
    </row>
    <row r="9" spans="1:2" x14ac:dyDescent="0.25">
      <c r="A9" s="3" t="s">
        <v>197</v>
      </c>
      <c r="B9" s="4" t="s">
        <v>198</v>
      </c>
    </row>
    <row r="10" spans="1:2" x14ac:dyDescent="0.25">
      <c r="A10" s="1" t="s">
        <v>199</v>
      </c>
      <c r="B10" s="2" t="s">
        <v>200</v>
      </c>
    </row>
    <row r="11" spans="1:2" x14ac:dyDescent="0.25">
      <c r="A11" s="3" t="s">
        <v>201</v>
      </c>
      <c r="B11" s="4" t="s">
        <v>202</v>
      </c>
    </row>
    <row r="12" spans="1:2" x14ac:dyDescent="0.25">
      <c r="A12" s="1" t="s">
        <v>203</v>
      </c>
      <c r="B12" s="2" t="s">
        <v>204</v>
      </c>
    </row>
    <row r="13" spans="1:2" x14ac:dyDescent="0.25">
      <c r="A13" s="3" t="s">
        <v>205</v>
      </c>
      <c r="B13" s="4" t="s">
        <v>206</v>
      </c>
    </row>
    <row r="14" spans="1:2" x14ac:dyDescent="0.25">
      <c r="A14" s="1" t="s">
        <v>207</v>
      </c>
      <c r="B14" s="2" t="s">
        <v>208</v>
      </c>
    </row>
    <row r="15" spans="1:2" x14ac:dyDescent="0.25">
      <c r="A15" s="3" t="s">
        <v>209</v>
      </c>
      <c r="B15" s="4" t="s">
        <v>210</v>
      </c>
    </row>
    <row r="16" spans="1:2" x14ac:dyDescent="0.25">
      <c r="A16" s="1" t="s">
        <v>211</v>
      </c>
      <c r="B16" s="2" t="s">
        <v>212</v>
      </c>
    </row>
    <row r="17" spans="1:2" x14ac:dyDescent="0.25">
      <c r="A17" s="3" t="s">
        <v>213</v>
      </c>
      <c r="B17" s="4" t="s">
        <v>214</v>
      </c>
    </row>
    <row r="18" spans="1:2" x14ac:dyDescent="0.25">
      <c r="A18" s="1" t="s">
        <v>215</v>
      </c>
      <c r="B18" s="2" t="s">
        <v>216</v>
      </c>
    </row>
    <row r="19" spans="1:2" x14ac:dyDescent="0.25">
      <c r="A19" s="3" t="s">
        <v>217</v>
      </c>
      <c r="B19" s="4" t="s">
        <v>218</v>
      </c>
    </row>
    <row r="20" spans="1:2" x14ac:dyDescent="0.25">
      <c r="A20" s="1" t="s">
        <v>219</v>
      </c>
      <c r="B20" s="2" t="s">
        <v>220</v>
      </c>
    </row>
    <row r="21" spans="1:2" x14ac:dyDescent="0.25">
      <c r="A21" s="3" t="s">
        <v>221</v>
      </c>
      <c r="B21" s="4" t="s">
        <v>222</v>
      </c>
    </row>
    <row r="22" spans="1:2" x14ac:dyDescent="0.25">
      <c r="A22" s="1" t="s">
        <v>223</v>
      </c>
      <c r="B22" s="2" t="s">
        <v>224</v>
      </c>
    </row>
    <row r="23" spans="1:2" x14ac:dyDescent="0.25">
      <c r="A23" s="3" t="s">
        <v>225</v>
      </c>
      <c r="B23" s="4" t="s">
        <v>226</v>
      </c>
    </row>
    <row r="24" spans="1:2" x14ac:dyDescent="0.25">
      <c r="A24" s="1" t="s">
        <v>227</v>
      </c>
      <c r="B24" s="2" t="s">
        <v>228</v>
      </c>
    </row>
    <row r="25" spans="1:2" x14ac:dyDescent="0.25">
      <c r="A25" s="3" t="s">
        <v>229</v>
      </c>
      <c r="B25" s="4" t="s">
        <v>230</v>
      </c>
    </row>
    <row r="26" spans="1:2" x14ac:dyDescent="0.25">
      <c r="A26" s="1" t="s">
        <v>231</v>
      </c>
      <c r="B26" s="2" t="s">
        <v>232</v>
      </c>
    </row>
    <row r="27" spans="1:2" x14ac:dyDescent="0.25">
      <c r="A27" s="3" t="s">
        <v>233</v>
      </c>
      <c r="B27" s="4" t="s">
        <v>234</v>
      </c>
    </row>
    <row r="28" spans="1:2" x14ac:dyDescent="0.25">
      <c r="A28" s="1" t="s">
        <v>235</v>
      </c>
      <c r="B28" s="2" t="s">
        <v>236</v>
      </c>
    </row>
    <row r="29" spans="1:2" x14ac:dyDescent="0.25">
      <c r="A29" s="3" t="s">
        <v>237</v>
      </c>
      <c r="B29" s="4" t="s">
        <v>238</v>
      </c>
    </row>
    <row r="30" spans="1:2" x14ac:dyDescent="0.25">
      <c r="A30" s="1" t="s">
        <v>239</v>
      </c>
      <c r="B30" s="2" t="s">
        <v>240</v>
      </c>
    </row>
    <row r="31" spans="1:2" x14ac:dyDescent="0.25">
      <c r="A31" s="3" t="s">
        <v>241</v>
      </c>
      <c r="B31" s="4" t="s">
        <v>242</v>
      </c>
    </row>
    <row r="32" spans="1:2" x14ac:dyDescent="0.25">
      <c r="A32" s="1" t="s">
        <v>243</v>
      </c>
      <c r="B32" s="2" t="s">
        <v>244</v>
      </c>
    </row>
    <row r="33" spans="1:2" x14ac:dyDescent="0.25">
      <c r="A33" s="3" t="s">
        <v>245</v>
      </c>
      <c r="B33" s="4" t="s">
        <v>246</v>
      </c>
    </row>
    <row r="34" spans="1:2" x14ac:dyDescent="0.25">
      <c r="A34" s="1" t="s">
        <v>247</v>
      </c>
      <c r="B34" s="2" t="s">
        <v>248</v>
      </c>
    </row>
    <row r="35" spans="1:2" x14ac:dyDescent="0.25">
      <c r="A35" s="3" t="s">
        <v>249</v>
      </c>
      <c r="B35" s="4" t="s">
        <v>250</v>
      </c>
    </row>
    <row r="36" spans="1:2" x14ac:dyDescent="0.25">
      <c r="A36" s="1" t="s">
        <v>251</v>
      </c>
      <c r="B36" s="2" t="s">
        <v>252</v>
      </c>
    </row>
    <row r="37" spans="1:2" x14ac:dyDescent="0.25">
      <c r="A37" s="3" t="s">
        <v>253</v>
      </c>
      <c r="B37" s="4" t="s">
        <v>254</v>
      </c>
    </row>
    <row r="38" spans="1:2" x14ac:dyDescent="0.25">
      <c r="A38" s="1" t="s">
        <v>255</v>
      </c>
      <c r="B38" s="2" t="s">
        <v>256</v>
      </c>
    </row>
    <row r="39" spans="1:2" x14ac:dyDescent="0.25">
      <c r="A39" s="3" t="s">
        <v>257</v>
      </c>
      <c r="B39" s="4" t="s">
        <v>258</v>
      </c>
    </row>
    <row r="40" spans="1:2" x14ac:dyDescent="0.25">
      <c r="A40" s="1" t="s">
        <v>259</v>
      </c>
      <c r="B40" s="2" t="s">
        <v>260</v>
      </c>
    </row>
    <row r="41" spans="1:2" x14ac:dyDescent="0.25">
      <c r="A41" s="3" t="s">
        <v>261</v>
      </c>
      <c r="B41" s="4" t="s">
        <v>262</v>
      </c>
    </row>
    <row r="42" spans="1:2" x14ac:dyDescent="0.25">
      <c r="A42" s="1" t="s">
        <v>263</v>
      </c>
      <c r="B42" s="2" t="s">
        <v>264</v>
      </c>
    </row>
    <row r="43" spans="1:2" x14ac:dyDescent="0.25">
      <c r="A43" s="3" t="s">
        <v>265</v>
      </c>
      <c r="B43" s="4" t="s">
        <v>266</v>
      </c>
    </row>
    <row r="44" spans="1:2" x14ac:dyDescent="0.25">
      <c r="A44" s="1" t="s">
        <v>267</v>
      </c>
      <c r="B44" s="2" t="s">
        <v>268</v>
      </c>
    </row>
    <row r="45" spans="1:2" x14ac:dyDescent="0.25">
      <c r="A45" s="3" t="s">
        <v>269</v>
      </c>
      <c r="B45" s="4" t="s">
        <v>270</v>
      </c>
    </row>
    <row r="46" spans="1:2" x14ac:dyDescent="0.25">
      <c r="A46" s="1" t="s">
        <v>271</v>
      </c>
      <c r="B46" s="2" t="s">
        <v>272</v>
      </c>
    </row>
    <row r="47" spans="1:2" x14ac:dyDescent="0.25">
      <c r="A47" s="3" t="s">
        <v>273</v>
      </c>
      <c r="B47" s="4" t="s">
        <v>274</v>
      </c>
    </row>
    <row r="48" spans="1:2" x14ac:dyDescent="0.25">
      <c r="A48" s="1" t="s">
        <v>275</v>
      </c>
      <c r="B48" s="2" t="s">
        <v>276</v>
      </c>
    </row>
    <row r="49" spans="1:2" x14ac:dyDescent="0.25">
      <c r="A49" s="3" t="s">
        <v>277</v>
      </c>
      <c r="B49" s="4" t="s">
        <v>278</v>
      </c>
    </row>
    <row r="50" spans="1:2" x14ac:dyDescent="0.25">
      <c r="A50" s="1" t="s">
        <v>279</v>
      </c>
      <c r="B50" s="2" t="s">
        <v>280</v>
      </c>
    </row>
    <row r="51" spans="1:2" x14ac:dyDescent="0.25">
      <c r="A51" s="3" t="s">
        <v>281</v>
      </c>
      <c r="B51" s="4" t="s">
        <v>282</v>
      </c>
    </row>
    <row r="52" spans="1:2" x14ac:dyDescent="0.25">
      <c r="A52" s="1" t="s">
        <v>283</v>
      </c>
      <c r="B52" s="2" t="s">
        <v>284</v>
      </c>
    </row>
    <row r="53" spans="1:2" x14ac:dyDescent="0.25">
      <c r="A53" s="3" t="s">
        <v>285</v>
      </c>
      <c r="B53" s="4" t="s">
        <v>286</v>
      </c>
    </row>
    <row r="54" spans="1:2" x14ac:dyDescent="0.25">
      <c r="A54" s="1" t="s">
        <v>287</v>
      </c>
      <c r="B54" s="2" t="s">
        <v>288</v>
      </c>
    </row>
    <row r="55" spans="1:2" x14ac:dyDescent="0.25">
      <c r="A55" s="3" t="s">
        <v>289</v>
      </c>
      <c r="B55" s="4" t="s">
        <v>290</v>
      </c>
    </row>
    <row r="56" spans="1:2" x14ac:dyDescent="0.25">
      <c r="A56" s="1" t="s">
        <v>291</v>
      </c>
      <c r="B56" s="2" t="s">
        <v>292</v>
      </c>
    </row>
    <row r="57" spans="1:2" x14ac:dyDescent="0.25">
      <c r="A57" s="3" t="s">
        <v>293</v>
      </c>
      <c r="B57" s="4" t="s">
        <v>294</v>
      </c>
    </row>
    <row r="58" spans="1:2" x14ac:dyDescent="0.25">
      <c r="A58" s="1" t="s">
        <v>295</v>
      </c>
      <c r="B58" s="2" t="s">
        <v>296</v>
      </c>
    </row>
    <row r="59" spans="1:2" x14ac:dyDescent="0.25">
      <c r="A59" s="3" t="s">
        <v>297</v>
      </c>
      <c r="B59" s="4" t="s">
        <v>298</v>
      </c>
    </row>
    <row r="60" spans="1:2" x14ac:dyDescent="0.25">
      <c r="A60" s="1" t="s">
        <v>299</v>
      </c>
      <c r="B60" s="2" t="s">
        <v>300</v>
      </c>
    </row>
    <row r="61" spans="1:2" x14ac:dyDescent="0.25">
      <c r="A61" s="3" t="s">
        <v>301</v>
      </c>
      <c r="B61" s="4" t="s">
        <v>302</v>
      </c>
    </row>
    <row r="62" spans="1:2" x14ac:dyDescent="0.25">
      <c r="A62" s="1" t="s">
        <v>303</v>
      </c>
      <c r="B62" s="2" t="s">
        <v>304</v>
      </c>
    </row>
    <row r="63" spans="1:2" x14ac:dyDescent="0.25">
      <c r="A63" s="3" t="s">
        <v>305</v>
      </c>
      <c r="B63" s="4" t="s">
        <v>306</v>
      </c>
    </row>
    <row r="64" spans="1:2" x14ac:dyDescent="0.25">
      <c r="A64" s="1" t="s">
        <v>307</v>
      </c>
      <c r="B64" s="2" t="s">
        <v>308</v>
      </c>
    </row>
    <row r="65" spans="1:2" x14ac:dyDescent="0.25">
      <c r="A65" s="3" t="s">
        <v>309</v>
      </c>
      <c r="B65" s="4" t="s">
        <v>310</v>
      </c>
    </row>
    <row r="66" spans="1:2" x14ac:dyDescent="0.25">
      <c r="A66" s="1" t="s">
        <v>311</v>
      </c>
      <c r="B66" s="2" t="s">
        <v>312</v>
      </c>
    </row>
    <row r="67" spans="1:2" x14ac:dyDescent="0.25">
      <c r="A67" s="3" t="s">
        <v>313</v>
      </c>
      <c r="B67" s="4" t="s">
        <v>314</v>
      </c>
    </row>
    <row r="68" spans="1:2" x14ac:dyDescent="0.25">
      <c r="A68" s="1" t="s">
        <v>315</v>
      </c>
      <c r="B68" s="2" t="s">
        <v>316</v>
      </c>
    </row>
    <row r="69" spans="1:2" x14ac:dyDescent="0.25">
      <c r="A69" s="3" t="s">
        <v>317</v>
      </c>
      <c r="B69" s="4" t="s">
        <v>318</v>
      </c>
    </row>
    <row r="70" spans="1:2" x14ac:dyDescent="0.25">
      <c r="A70" s="1" t="s">
        <v>319</v>
      </c>
      <c r="B70" s="2" t="s">
        <v>320</v>
      </c>
    </row>
    <row r="71" spans="1:2" x14ac:dyDescent="0.25">
      <c r="A71" s="3" t="s">
        <v>321</v>
      </c>
      <c r="B71" s="4" t="s">
        <v>322</v>
      </c>
    </row>
    <row r="72" spans="1:2" x14ac:dyDescent="0.25">
      <c r="A72" s="1" t="s">
        <v>323</v>
      </c>
      <c r="B72" s="2" t="s">
        <v>324</v>
      </c>
    </row>
    <row r="73" spans="1:2" x14ac:dyDescent="0.25">
      <c r="A73" s="3" t="s">
        <v>325</v>
      </c>
      <c r="B73" s="4" t="s">
        <v>326</v>
      </c>
    </row>
    <row r="74" spans="1:2" x14ac:dyDescent="0.25">
      <c r="A74" s="1" t="s">
        <v>327</v>
      </c>
      <c r="B74" s="2" t="s">
        <v>328</v>
      </c>
    </row>
    <row r="75" spans="1:2" x14ac:dyDescent="0.25">
      <c r="A75" s="3" t="s">
        <v>329</v>
      </c>
      <c r="B75" s="4" t="s">
        <v>330</v>
      </c>
    </row>
    <row r="76" spans="1:2" x14ac:dyDescent="0.25">
      <c r="A76" s="1" t="s">
        <v>331</v>
      </c>
      <c r="B76" s="2" t="s">
        <v>332</v>
      </c>
    </row>
    <row r="77" spans="1:2" x14ac:dyDescent="0.25">
      <c r="A77" s="3" t="s">
        <v>333</v>
      </c>
      <c r="B77" s="4" t="s">
        <v>334</v>
      </c>
    </row>
    <row r="78" spans="1:2" x14ac:dyDescent="0.25">
      <c r="A78" s="1" t="s">
        <v>335</v>
      </c>
      <c r="B78" s="2" t="s">
        <v>336</v>
      </c>
    </row>
    <row r="79" spans="1:2" x14ac:dyDescent="0.25">
      <c r="A79" s="3" t="s">
        <v>337</v>
      </c>
      <c r="B79" s="4" t="s">
        <v>338</v>
      </c>
    </row>
    <row r="80" spans="1:2" x14ac:dyDescent="0.25">
      <c r="A80" s="1" t="s">
        <v>339</v>
      </c>
      <c r="B80" s="2" t="s">
        <v>340</v>
      </c>
    </row>
    <row r="81" spans="1:2" x14ac:dyDescent="0.25">
      <c r="A81" s="3" t="s">
        <v>341</v>
      </c>
      <c r="B81" s="4" t="s">
        <v>342</v>
      </c>
    </row>
    <row r="82" spans="1:2" x14ac:dyDescent="0.25">
      <c r="A82" s="1" t="s">
        <v>343</v>
      </c>
      <c r="B82" s="2" t="s">
        <v>344</v>
      </c>
    </row>
    <row r="83" spans="1:2" x14ac:dyDescent="0.25">
      <c r="A83" s="3" t="s">
        <v>345</v>
      </c>
      <c r="B83" s="4" t="s">
        <v>346</v>
      </c>
    </row>
    <row r="84" spans="1:2" x14ac:dyDescent="0.25">
      <c r="A84" s="1" t="s">
        <v>347</v>
      </c>
      <c r="B84" s="2" t="s">
        <v>348</v>
      </c>
    </row>
    <row r="85" spans="1:2" x14ac:dyDescent="0.25">
      <c r="A85" s="3" t="s">
        <v>349</v>
      </c>
      <c r="B85" s="4" t="s">
        <v>350</v>
      </c>
    </row>
    <row r="86" spans="1:2" x14ac:dyDescent="0.25">
      <c r="A86" s="1" t="s">
        <v>351</v>
      </c>
      <c r="B86" s="2" t="s">
        <v>352</v>
      </c>
    </row>
    <row r="87" spans="1:2" x14ac:dyDescent="0.25">
      <c r="A87" s="3" t="s">
        <v>353</v>
      </c>
      <c r="B87" s="4" t="s">
        <v>354</v>
      </c>
    </row>
    <row r="88" spans="1:2" x14ac:dyDescent="0.25">
      <c r="A88" s="1" t="s">
        <v>355</v>
      </c>
      <c r="B88" s="2" t="s">
        <v>356</v>
      </c>
    </row>
    <row r="89" spans="1:2" x14ac:dyDescent="0.25">
      <c r="A89" s="3" t="s">
        <v>357</v>
      </c>
      <c r="B89" s="4" t="s">
        <v>358</v>
      </c>
    </row>
    <row r="90" spans="1:2" x14ac:dyDescent="0.25">
      <c r="A90" s="1" t="s">
        <v>359</v>
      </c>
      <c r="B90" s="2" t="s">
        <v>360</v>
      </c>
    </row>
    <row r="91" spans="1:2" x14ac:dyDescent="0.25">
      <c r="A91" s="3" t="s">
        <v>361</v>
      </c>
      <c r="B91" s="4" t="s">
        <v>362</v>
      </c>
    </row>
    <row r="92" spans="1:2" x14ac:dyDescent="0.25">
      <c r="A92" s="1" t="s">
        <v>363</v>
      </c>
      <c r="B92" s="2" t="s">
        <v>364</v>
      </c>
    </row>
    <row r="93" spans="1:2" x14ac:dyDescent="0.25">
      <c r="A93" s="3" t="s">
        <v>365</v>
      </c>
      <c r="B93" s="4" t="s">
        <v>366</v>
      </c>
    </row>
    <row r="94" spans="1:2" x14ac:dyDescent="0.25">
      <c r="A94" s="1" t="s">
        <v>367</v>
      </c>
      <c r="B94" s="2" t="s">
        <v>368</v>
      </c>
    </row>
    <row r="95" spans="1:2" x14ac:dyDescent="0.25">
      <c r="A95" s="3" t="s">
        <v>369</v>
      </c>
      <c r="B95" s="4" t="s">
        <v>370</v>
      </c>
    </row>
    <row r="96" spans="1:2" x14ac:dyDescent="0.25">
      <c r="A96" s="1" t="s">
        <v>371</v>
      </c>
      <c r="B96" s="2" t="s">
        <v>372</v>
      </c>
    </row>
    <row r="97" spans="1:2" x14ac:dyDescent="0.25">
      <c r="A97" s="3" t="s">
        <v>373</v>
      </c>
      <c r="B97" s="4" t="s">
        <v>374</v>
      </c>
    </row>
    <row r="98" spans="1:2" x14ac:dyDescent="0.25">
      <c r="A98" s="1" t="s">
        <v>375</v>
      </c>
      <c r="B98" s="2" t="s">
        <v>376</v>
      </c>
    </row>
    <row r="99" spans="1:2" x14ac:dyDescent="0.25">
      <c r="A99" s="3" t="s">
        <v>377</v>
      </c>
      <c r="B99" s="4" t="s">
        <v>378</v>
      </c>
    </row>
    <row r="100" spans="1:2" x14ac:dyDescent="0.25">
      <c r="A100" s="1" t="s">
        <v>379</v>
      </c>
      <c r="B100" s="2" t="s">
        <v>380</v>
      </c>
    </row>
    <row r="101" spans="1:2" x14ac:dyDescent="0.25">
      <c r="A101" s="3" t="s">
        <v>381</v>
      </c>
      <c r="B101" s="4" t="s">
        <v>382</v>
      </c>
    </row>
    <row r="102" spans="1:2" x14ac:dyDescent="0.25">
      <c r="A102" s="1" t="s">
        <v>383</v>
      </c>
      <c r="B102" s="2" t="s">
        <v>384</v>
      </c>
    </row>
    <row r="103" spans="1:2" x14ac:dyDescent="0.25">
      <c r="A103" s="3" t="s">
        <v>385</v>
      </c>
      <c r="B103" s="4" t="s">
        <v>386</v>
      </c>
    </row>
    <row r="104" spans="1:2" x14ac:dyDescent="0.25">
      <c r="A104" s="1" t="s">
        <v>387</v>
      </c>
      <c r="B104" s="2" t="s">
        <v>388</v>
      </c>
    </row>
    <row r="105" spans="1:2" x14ac:dyDescent="0.25">
      <c r="A105" s="3" t="s">
        <v>389</v>
      </c>
      <c r="B105" s="4" t="s">
        <v>390</v>
      </c>
    </row>
    <row r="106" spans="1:2" x14ac:dyDescent="0.25">
      <c r="A106" s="1" t="s">
        <v>391</v>
      </c>
      <c r="B106" s="2" t="s">
        <v>392</v>
      </c>
    </row>
    <row r="107" spans="1:2" x14ac:dyDescent="0.25">
      <c r="A107" s="3" t="s">
        <v>393</v>
      </c>
      <c r="B107" s="4" t="s">
        <v>394</v>
      </c>
    </row>
    <row r="108" spans="1:2" x14ac:dyDescent="0.25">
      <c r="A108" s="1" t="s">
        <v>395</v>
      </c>
      <c r="B108" s="2" t="s">
        <v>396</v>
      </c>
    </row>
    <row r="109" spans="1:2" x14ac:dyDescent="0.25">
      <c r="A109" s="3" t="s">
        <v>397</v>
      </c>
      <c r="B109" s="4" t="s">
        <v>398</v>
      </c>
    </row>
    <row r="110" spans="1:2" x14ac:dyDescent="0.25">
      <c r="A110" s="1" t="s">
        <v>399</v>
      </c>
      <c r="B110" s="2" t="s">
        <v>400</v>
      </c>
    </row>
    <row r="111" spans="1:2" x14ac:dyDescent="0.25">
      <c r="A111" s="3" t="s">
        <v>401</v>
      </c>
      <c r="B111" s="4" t="s">
        <v>402</v>
      </c>
    </row>
    <row r="112" spans="1:2" x14ac:dyDescent="0.25">
      <c r="A112" s="1" t="s">
        <v>403</v>
      </c>
      <c r="B112" s="2" t="s">
        <v>404</v>
      </c>
    </row>
    <row r="113" spans="1:2" x14ac:dyDescent="0.25">
      <c r="A113" s="3" t="s">
        <v>405</v>
      </c>
      <c r="B113" s="4" t="s">
        <v>406</v>
      </c>
    </row>
    <row r="114" spans="1:2" x14ac:dyDescent="0.25">
      <c r="A114" s="1" t="s">
        <v>407</v>
      </c>
      <c r="B114" s="2" t="s">
        <v>408</v>
      </c>
    </row>
    <row r="115" spans="1:2" x14ac:dyDescent="0.25">
      <c r="A115" s="3" t="s">
        <v>409</v>
      </c>
      <c r="B115" s="4" t="s">
        <v>410</v>
      </c>
    </row>
    <row r="116" spans="1:2" x14ac:dyDescent="0.25">
      <c r="A116" s="1" t="s">
        <v>411</v>
      </c>
      <c r="B116" s="2" t="s">
        <v>412</v>
      </c>
    </row>
    <row r="117" spans="1:2" x14ac:dyDescent="0.25">
      <c r="A117" s="3" t="s">
        <v>413</v>
      </c>
      <c r="B117" s="4" t="s">
        <v>414</v>
      </c>
    </row>
    <row r="118" spans="1:2" x14ac:dyDescent="0.25">
      <c r="A118" s="1" t="s">
        <v>415</v>
      </c>
      <c r="B118" s="2" t="s">
        <v>416</v>
      </c>
    </row>
    <row r="119" spans="1:2" x14ac:dyDescent="0.25">
      <c r="A119" s="3" t="s">
        <v>417</v>
      </c>
      <c r="B119" s="4" t="s">
        <v>418</v>
      </c>
    </row>
    <row r="120" spans="1:2" x14ac:dyDescent="0.25">
      <c r="A120" s="1" t="s">
        <v>419</v>
      </c>
      <c r="B120" s="2" t="s">
        <v>420</v>
      </c>
    </row>
    <row r="121" spans="1:2" x14ac:dyDescent="0.25">
      <c r="A121" s="3" t="s">
        <v>421</v>
      </c>
      <c r="B121" s="4" t="s">
        <v>422</v>
      </c>
    </row>
    <row r="122" spans="1:2" x14ac:dyDescent="0.25">
      <c r="A122" s="1" t="s">
        <v>423</v>
      </c>
      <c r="B122" s="2" t="s">
        <v>424</v>
      </c>
    </row>
    <row r="123" spans="1:2" x14ac:dyDescent="0.25">
      <c r="A123" s="3" t="s">
        <v>425</v>
      </c>
      <c r="B123" s="4" t="s">
        <v>426</v>
      </c>
    </row>
    <row r="124" spans="1:2" x14ac:dyDescent="0.25">
      <c r="A124" s="1" t="s">
        <v>427</v>
      </c>
      <c r="B124" s="2" t="s">
        <v>428</v>
      </c>
    </row>
    <row r="125" spans="1:2" x14ac:dyDescent="0.25">
      <c r="A125" s="3" t="s">
        <v>429</v>
      </c>
      <c r="B125" s="4" t="s">
        <v>430</v>
      </c>
    </row>
    <row r="126" spans="1:2" x14ac:dyDescent="0.25">
      <c r="A126" s="1" t="s">
        <v>431</v>
      </c>
      <c r="B126" s="2" t="s">
        <v>432</v>
      </c>
    </row>
    <row r="127" spans="1:2" x14ac:dyDescent="0.25">
      <c r="A127" s="3" t="s">
        <v>433</v>
      </c>
      <c r="B127" s="4" t="s">
        <v>434</v>
      </c>
    </row>
    <row r="128" spans="1:2" x14ac:dyDescent="0.25">
      <c r="A128" s="1" t="s">
        <v>435</v>
      </c>
      <c r="B128" s="2" t="s">
        <v>436</v>
      </c>
    </row>
    <row r="129" spans="1:2" x14ac:dyDescent="0.25">
      <c r="A129" s="3" t="s">
        <v>437</v>
      </c>
      <c r="B129" s="4" t="s">
        <v>438</v>
      </c>
    </row>
    <row r="130" spans="1:2" x14ac:dyDescent="0.25">
      <c r="A130" s="1" t="s">
        <v>439</v>
      </c>
      <c r="B130" s="2" t="s">
        <v>440</v>
      </c>
    </row>
    <row r="131" spans="1:2" x14ac:dyDescent="0.25">
      <c r="A131" s="3" t="s">
        <v>441</v>
      </c>
      <c r="B131" s="4" t="s">
        <v>442</v>
      </c>
    </row>
    <row r="132" spans="1:2" x14ac:dyDescent="0.25">
      <c r="A132" s="1" t="s">
        <v>443</v>
      </c>
      <c r="B132" s="2" t="s">
        <v>444</v>
      </c>
    </row>
    <row r="133" spans="1:2" x14ac:dyDescent="0.25">
      <c r="A133" s="3" t="s">
        <v>445</v>
      </c>
      <c r="B133" s="4" t="s">
        <v>446</v>
      </c>
    </row>
    <row r="134" spans="1:2" x14ac:dyDescent="0.25">
      <c r="A134" s="1" t="s">
        <v>447</v>
      </c>
      <c r="B134" s="2" t="s">
        <v>448</v>
      </c>
    </row>
    <row r="135" spans="1:2" x14ac:dyDescent="0.25">
      <c r="A135" s="3" t="s">
        <v>449</v>
      </c>
      <c r="B135" s="4" t="s">
        <v>450</v>
      </c>
    </row>
    <row r="136" spans="1:2" x14ac:dyDescent="0.25">
      <c r="A136" s="1" t="s">
        <v>451</v>
      </c>
      <c r="B136" s="2" t="s">
        <v>452</v>
      </c>
    </row>
    <row r="137" spans="1:2" x14ac:dyDescent="0.25">
      <c r="A137" s="3" t="s">
        <v>453</v>
      </c>
      <c r="B137" s="4" t="s">
        <v>454</v>
      </c>
    </row>
    <row r="138" spans="1:2" x14ac:dyDescent="0.25">
      <c r="A138" s="1" t="s">
        <v>455</v>
      </c>
      <c r="B138" s="2" t="s">
        <v>456</v>
      </c>
    </row>
    <row r="139" spans="1:2" x14ac:dyDescent="0.25">
      <c r="A139" s="3" t="s">
        <v>457</v>
      </c>
      <c r="B139" s="4" t="s">
        <v>458</v>
      </c>
    </row>
    <row r="140" spans="1:2" x14ac:dyDescent="0.25">
      <c r="A140" s="1" t="s">
        <v>459</v>
      </c>
      <c r="B140" s="2" t="s">
        <v>460</v>
      </c>
    </row>
    <row r="141" spans="1:2" x14ac:dyDescent="0.25">
      <c r="A141" s="3" t="s">
        <v>461</v>
      </c>
      <c r="B141" s="4" t="s">
        <v>462</v>
      </c>
    </row>
    <row r="142" spans="1:2" x14ac:dyDescent="0.25">
      <c r="A142" s="1" t="s">
        <v>463</v>
      </c>
      <c r="B142" s="2" t="s">
        <v>464</v>
      </c>
    </row>
    <row r="143" spans="1:2" x14ac:dyDescent="0.25">
      <c r="A143" s="3" t="s">
        <v>465</v>
      </c>
      <c r="B143" s="4" t="s">
        <v>466</v>
      </c>
    </row>
    <row r="144" spans="1:2" x14ac:dyDescent="0.25">
      <c r="A144" s="1" t="s">
        <v>467</v>
      </c>
      <c r="B144" s="2" t="s">
        <v>468</v>
      </c>
    </row>
    <row r="145" spans="1:2" x14ac:dyDescent="0.25">
      <c r="A145" s="3" t="s">
        <v>469</v>
      </c>
      <c r="B145" s="4" t="s">
        <v>470</v>
      </c>
    </row>
    <row r="146" spans="1:2" x14ac:dyDescent="0.25">
      <c r="A146" s="1" t="s">
        <v>471</v>
      </c>
      <c r="B146" s="2" t="s">
        <v>472</v>
      </c>
    </row>
    <row r="147" spans="1:2" x14ac:dyDescent="0.25">
      <c r="A147" s="3" t="s">
        <v>473</v>
      </c>
      <c r="B147" s="4" t="s">
        <v>474</v>
      </c>
    </row>
    <row r="148" spans="1:2" x14ac:dyDescent="0.25">
      <c r="A148" s="1" t="s">
        <v>475</v>
      </c>
      <c r="B148" s="2" t="s">
        <v>476</v>
      </c>
    </row>
    <row r="149" spans="1:2" x14ac:dyDescent="0.25">
      <c r="A149" s="3" t="s">
        <v>477</v>
      </c>
      <c r="B149" s="4" t="s">
        <v>478</v>
      </c>
    </row>
    <row r="150" spans="1:2" x14ac:dyDescent="0.25">
      <c r="A150" s="1" t="s">
        <v>479</v>
      </c>
      <c r="B150" s="2" t="s">
        <v>480</v>
      </c>
    </row>
    <row r="151" spans="1:2" x14ac:dyDescent="0.25">
      <c r="A151" s="3" t="s">
        <v>481</v>
      </c>
      <c r="B151" s="4" t="s">
        <v>482</v>
      </c>
    </row>
    <row r="152" spans="1:2" x14ac:dyDescent="0.25">
      <c r="A152" s="1" t="s">
        <v>483</v>
      </c>
      <c r="B152" s="2" t="s">
        <v>484</v>
      </c>
    </row>
    <row r="153" spans="1:2" x14ac:dyDescent="0.25">
      <c r="A153" s="3" t="s">
        <v>485</v>
      </c>
      <c r="B153" s="4" t="s">
        <v>486</v>
      </c>
    </row>
    <row r="154" spans="1:2" x14ac:dyDescent="0.25">
      <c r="A154" s="1" t="s">
        <v>487</v>
      </c>
      <c r="B154" s="2" t="s">
        <v>488</v>
      </c>
    </row>
    <row r="155" spans="1:2" x14ac:dyDescent="0.25">
      <c r="A155" s="3" t="s">
        <v>489</v>
      </c>
      <c r="B155" s="4" t="s">
        <v>490</v>
      </c>
    </row>
    <row r="156" spans="1:2" x14ac:dyDescent="0.25">
      <c r="A156" s="1" t="s">
        <v>491</v>
      </c>
      <c r="B156" s="2" t="s">
        <v>492</v>
      </c>
    </row>
    <row r="157" spans="1:2" x14ac:dyDescent="0.25">
      <c r="A157" s="3" t="s">
        <v>493</v>
      </c>
      <c r="B157" s="4" t="s">
        <v>494</v>
      </c>
    </row>
    <row r="158" spans="1:2" x14ac:dyDescent="0.25">
      <c r="A158" s="1" t="s">
        <v>495</v>
      </c>
      <c r="B158" s="2" t="s">
        <v>496</v>
      </c>
    </row>
    <row r="159" spans="1:2" x14ac:dyDescent="0.25">
      <c r="A159" s="3" t="s">
        <v>497</v>
      </c>
      <c r="B159" s="4" t="s">
        <v>498</v>
      </c>
    </row>
    <row r="160" spans="1:2" x14ac:dyDescent="0.25">
      <c r="A160" s="1" t="s">
        <v>499</v>
      </c>
      <c r="B160" s="2" t="s">
        <v>500</v>
      </c>
    </row>
    <row r="161" spans="1:2" x14ac:dyDescent="0.25">
      <c r="A161" s="3" t="s">
        <v>501</v>
      </c>
      <c r="B161" s="4" t="s">
        <v>502</v>
      </c>
    </row>
    <row r="162" spans="1:2" x14ac:dyDescent="0.25">
      <c r="A162" s="1" t="s">
        <v>503</v>
      </c>
      <c r="B162" s="2" t="s">
        <v>504</v>
      </c>
    </row>
    <row r="163" spans="1:2" x14ac:dyDescent="0.25">
      <c r="A163" s="3" t="s">
        <v>505</v>
      </c>
      <c r="B163" s="4" t="s">
        <v>506</v>
      </c>
    </row>
    <row r="164" spans="1:2" x14ac:dyDescent="0.25">
      <c r="A164" s="1" t="s">
        <v>507</v>
      </c>
      <c r="B164" s="2" t="s">
        <v>508</v>
      </c>
    </row>
    <row r="165" spans="1:2" x14ac:dyDescent="0.25">
      <c r="A165" s="3" t="s">
        <v>509</v>
      </c>
      <c r="B165" s="4" t="s">
        <v>510</v>
      </c>
    </row>
    <row r="166" spans="1:2" x14ac:dyDescent="0.25">
      <c r="A166" s="1" t="s">
        <v>511</v>
      </c>
      <c r="B166" s="2" t="s">
        <v>512</v>
      </c>
    </row>
    <row r="167" spans="1:2" x14ac:dyDescent="0.25">
      <c r="A167" s="3" t="s">
        <v>513</v>
      </c>
      <c r="B167" s="4" t="s">
        <v>514</v>
      </c>
    </row>
    <row r="168" spans="1:2" x14ac:dyDescent="0.25">
      <c r="A168" s="1" t="s">
        <v>515</v>
      </c>
      <c r="B168" s="2" t="s">
        <v>516</v>
      </c>
    </row>
    <row r="169" spans="1:2" x14ac:dyDescent="0.25">
      <c r="A169" s="3" t="s">
        <v>517</v>
      </c>
      <c r="B169" s="4" t="s">
        <v>518</v>
      </c>
    </row>
    <row r="170" spans="1:2" x14ac:dyDescent="0.25">
      <c r="A170" s="1" t="s">
        <v>519</v>
      </c>
      <c r="B170" s="2" t="s">
        <v>520</v>
      </c>
    </row>
    <row r="171" spans="1:2" x14ac:dyDescent="0.25">
      <c r="A171" s="3" t="s">
        <v>521</v>
      </c>
      <c r="B171" s="4" t="s">
        <v>522</v>
      </c>
    </row>
    <row r="172" spans="1:2" x14ac:dyDescent="0.25">
      <c r="A172" s="1" t="s">
        <v>523</v>
      </c>
      <c r="B172" s="2" t="s">
        <v>524</v>
      </c>
    </row>
    <row r="173" spans="1:2" x14ac:dyDescent="0.25">
      <c r="A173" s="3" t="s">
        <v>525</v>
      </c>
      <c r="B173" s="4" t="s">
        <v>526</v>
      </c>
    </row>
    <row r="174" spans="1:2" x14ac:dyDescent="0.25">
      <c r="A174" s="1" t="s">
        <v>527</v>
      </c>
      <c r="B174" s="2" t="s">
        <v>528</v>
      </c>
    </row>
    <row r="175" spans="1:2" x14ac:dyDescent="0.25">
      <c r="A175" s="3" t="s">
        <v>529</v>
      </c>
      <c r="B175" s="4" t="s">
        <v>530</v>
      </c>
    </row>
    <row r="176" spans="1:2" x14ac:dyDescent="0.25">
      <c r="A176" s="1" t="s">
        <v>531</v>
      </c>
      <c r="B176" s="2" t="s">
        <v>532</v>
      </c>
    </row>
    <row r="177" spans="1:2" x14ac:dyDescent="0.25">
      <c r="A177" s="3" t="s">
        <v>533</v>
      </c>
      <c r="B177" s="4" t="s">
        <v>534</v>
      </c>
    </row>
    <row r="178" spans="1:2" x14ac:dyDescent="0.25">
      <c r="A178" s="1" t="s">
        <v>535</v>
      </c>
      <c r="B178" s="2" t="s">
        <v>536</v>
      </c>
    </row>
    <row r="179" spans="1:2" x14ac:dyDescent="0.25">
      <c r="A179" s="3" t="s">
        <v>537</v>
      </c>
      <c r="B179" s="4" t="s">
        <v>538</v>
      </c>
    </row>
    <row r="180" spans="1:2" x14ac:dyDescent="0.25">
      <c r="A180" s="1" t="s">
        <v>539</v>
      </c>
      <c r="B180" s="2" t="s">
        <v>540</v>
      </c>
    </row>
    <row r="181" spans="1:2" x14ac:dyDescent="0.25">
      <c r="A181" s="3" t="s">
        <v>541</v>
      </c>
      <c r="B181" s="4" t="s">
        <v>542</v>
      </c>
    </row>
    <row r="182" spans="1:2" x14ac:dyDescent="0.25">
      <c r="A182" s="1" t="s">
        <v>543</v>
      </c>
      <c r="B182" s="2" t="s">
        <v>544</v>
      </c>
    </row>
    <row r="183" spans="1:2" x14ac:dyDescent="0.25">
      <c r="A183" s="3" t="s">
        <v>545</v>
      </c>
      <c r="B183" s="4" t="s">
        <v>546</v>
      </c>
    </row>
    <row r="184" spans="1:2" x14ac:dyDescent="0.25">
      <c r="A184" s="1" t="s">
        <v>547</v>
      </c>
      <c r="B184" s="2" t="s">
        <v>548</v>
      </c>
    </row>
    <row r="185" spans="1:2" x14ac:dyDescent="0.25">
      <c r="A185" s="3" t="s">
        <v>549</v>
      </c>
      <c r="B185" s="4" t="s">
        <v>550</v>
      </c>
    </row>
    <row r="186" spans="1:2" x14ac:dyDescent="0.25">
      <c r="A186" s="1" t="s">
        <v>551</v>
      </c>
      <c r="B186" s="2" t="s">
        <v>552</v>
      </c>
    </row>
    <row r="187" spans="1:2" x14ac:dyDescent="0.25">
      <c r="A187" s="3" t="s">
        <v>553</v>
      </c>
      <c r="B187" s="4" t="s">
        <v>554</v>
      </c>
    </row>
    <row r="188" spans="1:2" x14ac:dyDescent="0.25">
      <c r="A188" s="1" t="s">
        <v>555</v>
      </c>
      <c r="B188" s="2" t="s">
        <v>556</v>
      </c>
    </row>
    <row r="189" spans="1:2" x14ac:dyDescent="0.25">
      <c r="A189" s="3" t="s">
        <v>557</v>
      </c>
      <c r="B189" s="4" t="s">
        <v>558</v>
      </c>
    </row>
    <row r="190" spans="1:2" x14ac:dyDescent="0.25">
      <c r="A190" s="1" t="s">
        <v>559</v>
      </c>
      <c r="B190" s="2" t="s">
        <v>560</v>
      </c>
    </row>
    <row r="191" spans="1:2" x14ac:dyDescent="0.25">
      <c r="A191" s="3" t="s">
        <v>561</v>
      </c>
      <c r="B191" s="4" t="s">
        <v>562</v>
      </c>
    </row>
    <row r="192" spans="1:2" x14ac:dyDescent="0.25">
      <c r="A192" s="1" t="s">
        <v>563</v>
      </c>
      <c r="B192" s="2" t="s">
        <v>564</v>
      </c>
    </row>
    <row r="193" spans="1:2" x14ac:dyDescent="0.25">
      <c r="A193" s="3" t="s">
        <v>565</v>
      </c>
      <c r="B193" s="4" t="s">
        <v>566</v>
      </c>
    </row>
    <row r="194" spans="1:2" x14ac:dyDescent="0.25">
      <c r="A194" s="1" t="s">
        <v>567</v>
      </c>
      <c r="B194" s="2" t="s">
        <v>568</v>
      </c>
    </row>
    <row r="195" spans="1:2" x14ac:dyDescent="0.25">
      <c r="A195" s="3" t="s">
        <v>569</v>
      </c>
      <c r="B195" s="4" t="s">
        <v>570</v>
      </c>
    </row>
    <row r="196" spans="1:2" x14ac:dyDescent="0.25">
      <c r="A196" s="1" t="s">
        <v>571</v>
      </c>
      <c r="B196" s="2" t="s">
        <v>572</v>
      </c>
    </row>
    <row r="197" spans="1:2" x14ac:dyDescent="0.25">
      <c r="A197" s="3" t="s">
        <v>573</v>
      </c>
      <c r="B197" s="4" t="s">
        <v>574</v>
      </c>
    </row>
    <row r="198" spans="1:2" x14ac:dyDescent="0.25">
      <c r="A198" s="1" t="s">
        <v>575</v>
      </c>
      <c r="B198" s="2" t="s">
        <v>576</v>
      </c>
    </row>
    <row r="199" spans="1:2" x14ac:dyDescent="0.25">
      <c r="A199" s="3" t="s">
        <v>577</v>
      </c>
      <c r="B199" s="4" t="s">
        <v>578</v>
      </c>
    </row>
    <row r="200" spans="1:2" x14ac:dyDescent="0.25">
      <c r="A200" s="1" t="s">
        <v>579</v>
      </c>
      <c r="B200" s="2" t="s">
        <v>580</v>
      </c>
    </row>
    <row r="201" spans="1:2" x14ac:dyDescent="0.25">
      <c r="A201" s="3" t="s">
        <v>581</v>
      </c>
      <c r="B201" s="4" t="s">
        <v>582</v>
      </c>
    </row>
    <row r="202" spans="1:2" x14ac:dyDescent="0.25">
      <c r="A202" s="1" t="s">
        <v>583</v>
      </c>
      <c r="B202" s="2" t="s">
        <v>584</v>
      </c>
    </row>
    <row r="203" spans="1:2" x14ac:dyDescent="0.25">
      <c r="A203" s="3" t="s">
        <v>585</v>
      </c>
      <c r="B203" s="4" t="s">
        <v>586</v>
      </c>
    </row>
    <row r="204" spans="1:2" x14ac:dyDescent="0.25">
      <c r="A204" s="1" t="s">
        <v>587</v>
      </c>
      <c r="B204" s="2" t="s">
        <v>588</v>
      </c>
    </row>
    <row r="205" spans="1:2" x14ac:dyDescent="0.25">
      <c r="A205" s="3" t="s">
        <v>589</v>
      </c>
      <c r="B205" s="4" t="s">
        <v>590</v>
      </c>
    </row>
    <row r="206" spans="1:2" x14ac:dyDescent="0.25">
      <c r="A206" s="1" t="s">
        <v>591</v>
      </c>
      <c r="B206" s="2" t="s">
        <v>592</v>
      </c>
    </row>
    <row r="207" spans="1:2" x14ac:dyDescent="0.25">
      <c r="A207" s="3" t="s">
        <v>593</v>
      </c>
      <c r="B207" s="4" t="s">
        <v>594</v>
      </c>
    </row>
    <row r="208" spans="1:2" x14ac:dyDescent="0.25">
      <c r="A208" s="1" t="s">
        <v>595</v>
      </c>
      <c r="B208" s="2" t="s">
        <v>596</v>
      </c>
    </row>
    <row r="209" spans="1:2" x14ac:dyDescent="0.25">
      <c r="A209" s="3" t="s">
        <v>597</v>
      </c>
      <c r="B209" s="4" t="s">
        <v>598</v>
      </c>
    </row>
    <row r="210" spans="1:2" x14ac:dyDescent="0.25">
      <c r="A210" s="1" t="s">
        <v>599</v>
      </c>
      <c r="B210" s="2" t="s">
        <v>600</v>
      </c>
    </row>
    <row r="211" spans="1:2" x14ac:dyDescent="0.25">
      <c r="A211" s="3" t="s">
        <v>601</v>
      </c>
      <c r="B211" s="4" t="s">
        <v>602</v>
      </c>
    </row>
    <row r="212" spans="1:2" x14ac:dyDescent="0.25">
      <c r="A212" s="1" t="s">
        <v>603</v>
      </c>
      <c r="B212" s="2" t="s">
        <v>604</v>
      </c>
    </row>
    <row r="213" spans="1:2" x14ac:dyDescent="0.25">
      <c r="A213" s="3" t="s">
        <v>605</v>
      </c>
      <c r="B213" s="4" t="s">
        <v>606</v>
      </c>
    </row>
    <row r="214" spans="1:2" x14ac:dyDescent="0.25">
      <c r="A214" s="1" t="s">
        <v>607</v>
      </c>
      <c r="B214" s="2" t="s">
        <v>608</v>
      </c>
    </row>
    <row r="215" spans="1:2" x14ac:dyDescent="0.25">
      <c r="A215" s="3" t="s">
        <v>609</v>
      </c>
      <c r="B215" s="4" t="s">
        <v>610</v>
      </c>
    </row>
    <row r="216" spans="1:2" x14ac:dyDescent="0.25">
      <c r="A216" s="1" t="s">
        <v>611</v>
      </c>
      <c r="B216" s="2" t="s">
        <v>612</v>
      </c>
    </row>
    <row r="217" spans="1:2" x14ac:dyDescent="0.25">
      <c r="A217" s="3" t="s">
        <v>613</v>
      </c>
      <c r="B217" s="4" t="s">
        <v>614</v>
      </c>
    </row>
    <row r="218" spans="1:2" x14ac:dyDescent="0.25">
      <c r="A218" s="1" t="s">
        <v>615</v>
      </c>
      <c r="B218" s="2" t="s">
        <v>616</v>
      </c>
    </row>
    <row r="219" spans="1:2" x14ac:dyDescent="0.25">
      <c r="A219" s="3" t="s">
        <v>617</v>
      </c>
      <c r="B219" s="4" t="s">
        <v>618</v>
      </c>
    </row>
    <row r="220" spans="1:2" x14ac:dyDescent="0.25">
      <c r="A220" s="1" t="s">
        <v>619</v>
      </c>
      <c r="B220" s="2" t="s">
        <v>620</v>
      </c>
    </row>
    <row r="221" spans="1:2" x14ac:dyDescent="0.25">
      <c r="A221" s="3" t="s">
        <v>621</v>
      </c>
      <c r="B221" s="4" t="s">
        <v>622</v>
      </c>
    </row>
    <row r="222" spans="1:2" x14ac:dyDescent="0.25">
      <c r="A222" s="1" t="s">
        <v>623</v>
      </c>
      <c r="B222" s="2" t="s">
        <v>624</v>
      </c>
    </row>
    <row r="223" spans="1:2" x14ac:dyDescent="0.25">
      <c r="A223" s="3" t="s">
        <v>625</v>
      </c>
      <c r="B223" s="4" t="s">
        <v>626</v>
      </c>
    </row>
    <row r="224" spans="1:2" x14ac:dyDescent="0.25">
      <c r="A224" s="1" t="s">
        <v>627</v>
      </c>
      <c r="B224" s="2" t="s">
        <v>628</v>
      </c>
    </row>
    <row r="225" spans="1:2" x14ac:dyDescent="0.25">
      <c r="A225" s="3" t="s">
        <v>629</v>
      </c>
      <c r="B225" s="4" t="s">
        <v>630</v>
      </c>
    </row>
    <row r="226" spans="1:2" x14ac:dyDescent="0.25">
      <c r="A226" s="1" t="s">
        <v>631</v>
      </c>
      <c r="B226" s="2" t="s">
        <v>632</v>
      </c>
    </row>
    <row r="227" spans="1:2" x14ac:dyDescent="0.25">
      <c r="A227" s="3" t="s">
        <v>633</v>
      </c>
      <c r="B227" s="4" t="s">
        <v>634</v>
      </c>
    </row>
    <row r="228" spans="1:2" x14ac:dyDescent="0.25">
      <c r="A228" s="1" t="s">
        <v>635</v>
      </c>
      <c r="B228" s="2" t="s">
        <v>636</v>
      </c>
    </row>
    <row r="229" spans="1:2" x14ac:dyDescent="0.25">
      <c r="A229" s="3" t="s">
        <v>637</v>
      </c>
      <c r="B229" s="4" t="s">
        <v>638</v>
      </c>
    </row>
    <row r="230" spans="1:2" x14ac:dyDescent="0.25">
      <c r="A230" s="1" t="s">
        <v>639</v>
      </c>
      <c r="B230" s="2" t="s">
        <v>640</v>
      </c>
    </row>
    <row r="231" spans="1:2" x14ac:dyDescent="0.25">
      <c r="A231" s="3" t="s">
        <v>641</v>
      </c>
      <c r="B231" s="4" t="s">
        <v>642</v>
      </c>
    </row>
    <row r="232" spans="1:2" x14ac:dyDescent="0.25">
      <c r="A232" s="1" t="s">
        <v>643</v>
      </c>
      <c r="B232" s="2" t="s">
        <v>644</v>
      </c>
    </row>
    <row r="233" spans="1:2" x14ac:dyDescent="0.25">
      <c r="A233" s="3" t="s">
        <v>645</v>
      </c>
      <c r="B233" s="4" t="s">
        <v>646</v>
      </c>
    </row>
    <row r="234" spans="1:2" x14ac:dyDescent="0.25">
      <c r="A234" s="1" t="s">
        <v>647</v>
      </c>
      <c r="B234" s="2" t="s">
        <v>648</v>
      </c>
    </row>
    <row r="235" spans="1:2" x14ac:dyDescent="0.25">
      <c r="A235" s="3" t="s">
        <v>649</v>
      </c>
      <c r="B235" s="4" t="s">
        <v>650</v>
      </c>
    </row>
    <row r="236" spans="1:2" x14ac:dyDescent="0.25">
      <c r="A236" s="1" t="s">
        <v>651</v>
      </c>
      <c r="B236" s="2" t="s">
        <v>652</v>
      </c>
    </row>
    <row r="237" spans="1:2" x14ac:dyDescent="0.25">
      <c r="A237" s="3" t="s">
        <v>653</v>
      </c>
      <c r="B237" s="4" t="s">
        <v>654</v>
      </c>
    </row>
    <row r="238" spans="1:2" x14ac:dyDescent="0.25">
      <c r="A238" s="1" t="s">
        <v>655</v>
      </c>
      <c r="B238" s="2" t="s">
        <v>656</v>
      </c>
    </row>
    <row r="239" spans="1:2" x14ac:dyDescent="0.25">
      <c r="A239" s="3" t="s">
        <v>657</v>
      </c>
      <c r="B239" s="4" t="s">
        <v>658</v>
      </c>
    </row>
    <row r="240" spans="1:2" x14ac:dyDescent="0.25">
      <c r="A240" s="1" t="s">
        <v>659</v>
      </c>
      <c r="B240" s="2" t="s">
        <v>660</v>
      </c>
    </row>
    <row r="241" spans="1:2" x14ac:dyDescent="0.25">
      <c r="A241" s="3" t="s">
        <v>661</v>
      </c>
      <c r="B241" s="4" t="s">
        <v>662</v>
      </c>
    </row>
    <row r="242" spans="1:2" x14ac:dyDescent="0.25">
      <c r="A242" s="1" t="s">
        <v>663</v>
      </c>
      <c r="B242" s="2" t="s">
        <v>664</v>
      </c>
    </row>
    <row r="243" spans="1:2" x14ac:dyDescent="0.25">
      <c r="A243" s="3" t="s">
        <v>665</v>
      </c>
      <c r="B243" s="4" t="s">
        <v>666</v>
      </c>
    </row>
    <row r="244" spans="1:2" x14ac:dyDescent="0.25">
      <c r="A244" s="1" t="s">
        <v>667</v>
      </c>
      <c r="B244" s="2" t="s">
        <v>668</v>
      </c>
    </row>
    <row r="245" spans="1:2" x14ac:dyDescent="0.25">
      <c r="A245" s="3" t="s">
        <v>669</v>
      </c>
      <c r="B245" s="4" t="s">
        <v>670</v>
      </c>
    </row>
    <row r="246" spans="1:2" x14ac:dyDescent="0.25">
      <c r="A246" s="1" t="s">
        <v>671</v>
      </c>
      <c r="B246" s="2" t="s">
        <v>672</v>
      </c>
    </row>
    <row r="247" spans="1:2" x14ac:dyDescent="0.25">
      <c r="A247" s="3" t="s">
        <v>673</v>
      </c>
      <c r="B247" s="4" t="s">
        <v>674</v>
      </c>
    </row>
    <row r="248" spans="1:2" x14ac:dyDescent="0.25">
      <c r="A248" s="1" t="s">
        <v>675</v>
      </c>
      <c r="B248" s="2" t="s">
        <v>676</v>
      </c>
    </row>
    <row r="249" spans="1:2" x14ac:dyDescent="0.25">
      <c r="A249" s="3" t="s">
        <v>677</v>
      </c>
      <c r="B249" s="4" t="s">
        <v>678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F251"/>
  <sheetViews>
    <sheetView workbookViewId="0">
      <selection activeCell="F10" sqref="F10"/>
    </sheetView>
  </sheetViews>
  <sheetFormatPr defaultRowHeight="15" x14ac:dyDescent="0.25"/>
  <cols>
    <col min="1" max="1" width="15.42578125" customWidth="1"/>
    <col min="2" max="2" width="49.42578125" bestFit="1" customWidth="1"/>
    <col min="3" max="3" width="12.7109375" customWidth="1"/>
    <col min="4" max="4" width="28.28515625" customWidth="1"/>
    <col min="5" max="5" width="148.140625" hidden="1" customWidth="1"/>
    <col min="6" max="6" width="162" bestFit="1" customWidth="1"/>
  </cols>
  <sheetData>
    <row r="1" spans="1:6" s="6" customFormat="1" ht="120" x14ac:dyDescent="0.25">
      <c r="A1" s="8" t="s">
        <v>1035</v>
      </c>
      <c r="B1" s="8" t="s">
        <v>1036</v>
      </c>
      <c r="C1" s="8" t="s">
        <v>1037</v>
      </c>
      <c r="D1" s="8" t="s">
        <v>1038</v>
      </c>
      <c r="E1" s="7" t="s">
        <v>1045</v>
      </c>
      <c r="F1" s="10" t="s">
        <v>1044</v>
      </c>
    </row>
    <row r="2" spans="1:6" x14ac:dyDescent="0.25">
      <c r="A2" s="3" t="s">
        <v>181</v>
      </c>
      <c r="B2" s="4" t="s">
        <v>182</v>
      </c>
      <c r="C2" t="str">
        <f>VLOOKUP("*"&amp;B2&amp;"*",currCode_Type!A:C,2,FALSE)</f>
        <v>AFN</v>
      </c>
      <c r="D2" t="str">
        <f>VLOOKUP("*"&amp;B2&amp;"*",currCode_Type!A:C,3,FALSE)</f>
        <v>Afghani</v>
      </c>
      <c r="E2" s="9" t="str">
        <f>"INSERT INTO oecd_currencies (iso_country_id,iso_country,country_name,iso_curry_id,iso_curry,curry_name) VALUES ("&amp;"(SELECT OBJ_ID from obj_key where obj_key_id = 41 and Key_Val='"&amp;A2&amp;"'),"&amp;"'"&amp;A2&amp;"'"&amp;","&amp;"'"&amp;B2&amp;"'"&amp;",(SELECT OBJ_ID from obj_key where obj_key_id = 9 and Key_Val='"&amp;C2&amp;"'),"&amp;"'"&amp;C2&amp;"'"&amp;","&amp;"'"&amp;D2&amp;"'"&amp;");"</f>
        <v>INSERT INTO oecd_currencies (iso_country_id,iso_country,country_name,iso_curry_id,iso_curry,curry_name) VALUES ((SELECT OBJ_ID from obj_key where obj_key_id = 41 and Key_Val='AF'),'AF','AFGHANISTAN',(SELECT OBJ_ID from obj_key where obj_key_id = 9 and Key_Val='AFN'),'AFN','Afghani');</v>
      </c>
      <c r="F2" s="11" t="str">
        <f>"INSERT INTO oecd_currencies (iso_country, country_name, iso_curry, curry_name) VALUES ("&amp;"'"&amp;A2&amp;"'"&amp;","&amp;"'"&amp;B2&amp;"'"&amp;","&amp;"'"&amp;C2&amp;"'"&amp;","&amp;"'"&amp;D2&amp;"'"&amp;");"</f>
        <v>INSERT INTO oecd_currencies (iso_country, country_name, iso_curry, curry_name) VALUES ('AF','AFGHANISTAN','AFN','Afghani');</v>
      </c>
    </row>
    <row r="3" spans="1:6" x14ac:dyDescent="0.25">
      <c r="A3" s="1" t="s">
        <v>183</v>
      </c>
      <c r="B3" s="2" t="s">
        <v>184</v>
      </c>
      <c r="C3" t="str">
        <f>VLOOKUP("*"&amp;B3&amp;"*",currCode_Type!A:C,2,FALSE)</f>
        <v>EUR</v>
      </c>
      <c r="D3" t="str">
        <f>VLOOKUP("*"&amp;B3&amp;"*",currCode_Type!A:C,3,FALSE)</f>
        <v>Euro</v>
      </c>
      <c r="E3" s="9" t="str">
        <f t="shared" ref="E3:E66" si="0">"INSERT INTO oecd_currencies (iso_country, country_name, iso_curry, curry_name) VALUES ("&amp;"'"&amp;A3&amp;"'"&amp;","&amp;"'"&amp;B3&amp;"'"&amp;","&amp;"'"&amp;C3&amp;"'"&amp;","&amp;"'"&amp;D3&amp;"'"&amp;");"</f>
        <v>INSERT INTO oecd_currencies (iso_country, country_name, iso_curry, curry_name) VALUES ('AX','ALAND ISLANDS','EUR','Euro');</v>
      </c>
      <c r="F3" s="11" t="str">
        <f t="shared" ref="F3:F66" si="1">"INSERT INTO oecd_currencies (iso_country, country_name, iso_curry, curry_name) VALUES ("&amp;"'"&amp;A3&amp;"'"&amp;","&amp;"'"&amp;B3&amp;"'"&amp;","&amp;"'"&amp;C3&amp;"'"&amp;","&amp;"'"&amp;D3&amp;"'"&amp;");"</f>
        <v>INSERT INTO oecd_currencies (iso_country, country_name, iso_curry, curry_name) VALUES ('AX','ALAND ISLANDS','EUR','Euro');</v>
      </c>
    </row>
    <row r="4" spans="1:6" x14ac:dyDescent="0.25">
      <c r="A4" s="3" t="s">
        <v>185</v>
      </c>
      <c r="B4" s="4" t="s">
        <v>186</v>
      </c>
      <c r="C4" t="str">
        <f>VLOOKUP("*"&amp;B4&amp;"*",currCode_Type!A:C,2,FALSE)</f>
        <v>ALL</v>
      </c>
      <c r="D4" t="str">
        <f>VLOOKUP("*"&amp;B4&amp;"*",currCode_Type!A:C,3,FALSE)</f>
        <v>Lek</v>
      </c>
      <c r="E4" s="9" t="str">
        <f t="shared" si="0"/>
        <v>INSERT INTO oecd_currencies (iso_country, country_name, iso_curry, curry_name) VALUES ('AL','ALBANIA','ALL','Lek');</v>
      </c>
      <c r="F4" s="11" t="str">
        <f t="shared" si="1"/>
        <v>INSERT INTO oecd_currencies (iso_country, country_name, iso_curry, curry_name) VALUES ('AL','ALBANIA','ALL','Lek');</v>
      </c>
    </row>
    <row r="5" spans="1:6" x14ac:dyDescent="0.25">
      <c r="A5" s="1" t="s">
        <v>187</v>
      </c>
      <c r="B5" s="2" t="s">
        <v>188</v>
      </c>
      <c r="C5" t="str">
        <f>VLOOKUP("*"&amp;B5&amp;"*",currCode_Type!A:C,2,FALSE)</f>
        <v>DZD</v>
      </c>
      <c r="D5" t="str">
        <f>VLOOKUP("*"&amp;B5&amp;"*",currCode_Type!A:C,3,FALSE)</f>
        <v>Algerian Dinar</v>
      </c>
      <c r="E5" s="9" t="str">
        <f t="shared" si="0"/>
        <v>INSERT INTO oecd_currencies (iso_country, country_name, iso_curry, curry_name) VALUES ('DZ','ALGERIA','DZD','Algerian Dinar');</v>
      </c>
      <c r="F5" s="11" t="str">
        <f t="shared" si="1"/>
        <v>INSERT INTO oecd_currencies (iso_country, country_name, iso_curry, curry_name) VALUES ('DZ','ALGERIA','DZD','Algerian Dinar');</v>
      </c>
    </row>
    <row r="6" spans="1:6" x14ac:dyDescent="0.25">
      <c r="A6" s="3" t="s">
        <v>189</v>
      </c>
      <c r="B6" s="4" t="s">
        <v>190</v>
      </c>
      <c r="C6" t="str">
        <f>VLOOKUP("*"&amp;B6&amp;"*",currCode_Type!A:C,2,FALSE)</f>
        <v>USD</v>
      </c>
      <c r="D6" t="str">
        <f>VLOOKUP("*"&amp;B6&amp;"*",currCode_Type!A:C,3,FALSE)</f>
        <v>US Dollar</v>
      </c>
      <c r="E6" s="9" t="str">
        <f t="shared" si="0"/>
        <v>INSERT INTO oecd_currencies (iso_country, country_name, iso_curry, curry_name) VALUES ('AS','AMERICAN SAMOA','USD','US Dollar');</v>
      </c>
      <c r="F6" s="11" t="str">
        <f t="shared" si="1"/>
        <v>INSERT INTO oecd_currencies (iso_country, country_name, iso_curry, curry_name) VALUES ('AS','AMERICAN SAMOA','USD','US Dollar');</v>
      </c>
    </row>
    <row r="7" spans="1:6" x14ac:dyDescent="0.25">
      <c r="A7" s="1" t="s">
        <v>191</v>
      </c>
      <c r="B7" s="2" t="s">
        <v>192</v>
      </c>
      <c r="C7" t="str">
        <f>VLOOKUP("*"&amp;B7&amp;"*",currCode_Type!A:C,2,FALSE)</f>
        <v>EUR</v>
      </c>
      <c r="D7" t="str">
        <f>VLOOKUP("*"&amp;B7&amp;"*",currCode_Type!A:C,3,FALSE)</f>
        <v>Euro</v>
      </c>
      <c r="E7" s="9" t="str">
        <f t="shared" si="0"/>
        <v>INSERT INTO oecd_currencies (iso_country, country_name, iso_curry, curry_name) VALUES ('AD','ANDORRA','EUR','Euro');</v>
      </c>
      <c r="F7" s="11" t="str">
        <f t="shared" si="1"/>
        <v>INSERT INTO oecd_currencies (iso_country, country_name, iso_curry, curry_name) VALUES ('AD','ANDORRA','EUR','Euro');</v>
      </c>
    </row>
    <row r="8" spans="1:6" x14ac:dyDescent="0.25">
      <c r="A8" s="3" t="s">
        <v>193</v>
      </c>
      <c r="B8" s="4" t="s">
        <v>194</v>
      </c>
      <c r="C8" t="str">
        <f>VLOOKUP("*"&amp;B8&amp;"*",currCode_Type!A:C,2,FALSE)</f>
        <v>AOA</v>
      </c>
      <c r="D8" t="str">
        <f>VLOOKUP("*"&amp;B8&amp;"*",currCode_Type!A:C,3,FALSE)</f>
        <v>Kwanza</v>
      </c>
      <c r="E8" s="9" t="str">
        <f t="shared" si="0"/>
        <v>INSERT INTO oecd_currencies (iso_country, country_name, iso_curry, curry_name) VALUES ('AO','ANGOLA','AOA','Kwanza');</v>
      </c>
      <c r="F8" s="11" t="str">
        <f t="shared" si="1"/>
        <v>INSERT INTO oecd_currencies (iso_country, country_name, iso_curry, curry_name) VALUES ('AO','ANGOLA','AOA','Kwanza');</v>
      </c>
    </row>
    <row r="9" spans="1:6" x14ac:dyDescent="0.25">
      <c r="A9" s="1" t="s">
        <v>195</v>
      </c>
      <c r="B9" s="2" t="s">
        <v>196</v>
      </c>
      <c r="C9" t="str">
        <f>VLOOKUP("*"&amp;B9&amp;"*",currCode_Type!A:C,2,FALSE)</f>
        <v>XCD</v>
      </c>
      <c r="D9" t="str">
        <f>VLOOKUP("*"&amp;B9&amp;"*",currCode_Type!A:C,3,FALSE)</f>
        <v>East Caribbean Dollar</v>
      </c>
      <c r="E9" s="9" t="str">
        <f t="shared" si="0"/>
        <v>INSERT INTO oecd_currencies (iso_country, country_name, iso_curry, curry_name) VALUES ('AI','ANGUILLA','XCD','East Caribbean Dollar');</v>
      </c>
      <c r="F9" s="11" t="str">
        <f t="shared" si="1"/>
        <v>INSERT INTO oecd_currencies (iso_country, country_name, iso_curry, curry_name) VALUES ('AI','ANGUILLA','XCD','East Caribbean Dollar');</v>
      </c>
    </row>
    <row r="10" spans="1:6" x14ac:dyDescent="0.25">
      <c r="A10" s="3" t="s">
        <v>197</v>
      </c>
      <c r="B10" s="4" t="s">
        <v>198</v>
      </c>
      <c r="C10" t="e">
        <f>VLOOKUP("*"&amp;B10&amp;"*",currCode_Type!A:C,2,FALSE)</f>
        <v>#N/A</v>
      </c>
      <c r="D10" t="e">
        <f>VLOOKUP("*"&amp;B10&amp;"*",currCode_Type!A:C,3,FALSE)</f>
        <v>#N/A</v>
      </c>
      <c r="E10" s="9" t="e">
        <f t="shared" si="0"/>
        <v>#N/A</v>
      </c>
      <c r="F10" s="11" t="e">
        <f t="shared" si="1"/>
        <v>#N/A</v>
      </c>
    </row>
    <row r="11" spans="1:6" x14ac:dyDescent="0.25">
      <c r="A11" s="1" t="s">
        <v>199</v>
      </c>
      <c r="B11" s="2" t="s">
        <v>200</v>
      </c>
      <c r="C11" t="str">
        <f>VLOOKUP("*"&amp;B11&amp;"*",currCode_Type!A:C,2,FALSE)</f>
        <v>XCD</v>
      </c>
      <c r="D11" t="str">
        <f>VLOOKUP("*"&amp;B11&amp;"*",currCode_Type!A:C,3,FALSE)</f>
        <v>East Caribbean Dollar</v>
      </c>
      <c r="E11" s="9" t="str">
        <f t="shared" si="0"/>
        <v>INSERT INTO oecd_currencies (iso_country, country_name, iso_curry, curry_name) VALUES ('AG','ANTIGUA AND BARBUDA','XCD','East Caribbean Dollar');</v>
      </c>
      <c r="F11" s="11" t="str">
        <f t="shared" si="1"/>
        <v>INSERT INTO oecd_currencies (iso_country, country_name, iso_curry, curry_name) VALUES ('AG','ANTIGUA AND BARBUDA','XCD','East Caribbean Dollar');</v>
      </c>
    </row>
    <row r="12" spans="1:6" x14ac:dyDescent="0.25">
      <c r="A12" s="3" t="s">
        <v>201</v>
      </c>
      <c r="B12" s="4" t="s">
        <v>202</v>
      </c>
      <c r="C12" t="str">
        <f>VLOOKUP("*"&amp;B12&amp;"*",currCode_Type!A:C,2,FALSE)</f>
        <v>ARS</v>
      </c>
      <c r="D12" t="str">
        <f>VLOOKUP("*"&amp;B12&amp;"*",currCode_Type!A:C,3,FALSE)</f>
        <v>Argentine Peso</v>
      </c>
      <c r="E12" s="9" t="str">
        <f t="shared" si="0"/>
        <v>INSERT INTO oecd_currencies (iso_country, country_name, iso_curry, curry_name) VALUES ('AR','ARGENTINA','ARS','Argentine Peso');</v>
      </c>
      <c r="F12" s="11" t="str">
        <f t="shared" si="1"/>
        <v>INSERT INTO oecd_currencies (iso_country, country_name, iso_curry, curry_name) VALUES ('AR','ARGENTINA','ARS','Argentine Peso');</v>
      </c>
    </row>
    <row r="13" spans="1:6" x14ac:dyDescent="0.25">
      <c r="A13" s="1" t="s">
        <v>203</v>
      </c>
      <c r="B13" s="2" t="s">
        <v>204</v>
      </c>
      <c r="C13" t="str">
        <f>VLOOKUP("*"&amp;B13&amp;"*",currCode_Type!A:C,2,FALSE)</f>
        <v>AMD</v>
      </c>
      <c r="D13" t="str">
        <f>VLOOKUP("*"&amp;B13&amp;"*",currCode_Type!A:C,3,FALSE)</f>
        <v>Armenian Dram</v>
      </c>
      <c r="E13" s="9" t="str">
        <f t="shared" si="0"/>
        <v>INSERT INTO oecd_currencies (iso_country, country_name, iso_curry, curry_name) VALUES ('AM','ARMENIA','AMD','Armenian Dram');</v>
      </c>
      <c r="F13" s="11" t="str">
        <f t="shared" si="1"/>
        <v>INSERT INTO oecd_currencies (iso_country, country_name, iso_curry, curry_name) VALUES ('AM','ARMENIA','AMD','Armenian Dram');</v>
      </c>
    </row>
    <row r="14" spans="1:6" x14ac:dyDescent="0.25">
      <c r="A14" s="3" t="s">
        <v>205</v>
      </c>
      <c r="B14" s="4" t="s">
        <v>206</v>
      </c>
      <c r="C14" t="str">
        <f>VLOOKUP("*"&amp;B14&amp;"*",currCode_Type!A:C,2,FALSE)</f>
        <v>AWG</v>
      </c>
      <c r="D14" t="str">
        <f>VLOOKUP("*"&amp;B14&amp;"*",currCode_Type!A:C,3,FALSE)</f>
        <v>Aruban Florin</v>
      </c>
      <c r="E14" s="9" t="str">
        <f t="shared" si="0"/>
        <v>INSERT INTO oecd_currencies (iso_country, country_name, iso_curry, curry_name) VALUES ('AW','ARUBA','AWG','Aruban Florin');</v>
      </c>
      <c r="F14" s="11" t="str">
        <f t="shared" si="1"/>
        <v>INSERT INTO oecd_currencies (iso_country, country_name, iso_curry, curry_name) VALUES ('AW','ARUBA','AWG','Aruban Florin');</v>
      </c>
    </row>
    <row r="15" spans="1:6" x14ac:dyDescent="0.25">
      <c r="A15" s="1" t="s">
        <v>207</v>
      </c>
      <c r="B15" s="2" t="s">
        <v>208</v>
      </c>
      <c r="C15" t="str">
        <f>VLOOKUP("*"&amp;B15&amp;"*",currCode_Type!A:C,2,FALSE)</f>
        <v>AUD</v>
      </c>
      <c r="D15" t="str">
        <f>VLOOKUP("*"&amp;B15&amp;"*",currCode_Type!A:C,3,FALSE)</f>
        <v>Australian Dollar</v>
      </c>
      <c r="E15" s="9" t="str">
        <f t="shared" si="0"/>
        <v>INSERT INTO oecd_currencies (iso_country, country_name, iso_curry, curry_name) VALUES ('AU','AUSTRALIA','AUD','Australian Dollar');</v>
      </c>
      <c r="F15" s="11" t="str">
        <f t="shared" si="1"/>
        <v>INSERT INTO oecd_currencies (iso_country, country_name, iso_curry, curry_name) VALUES ('AU','AUSTRALIA','AUD','Australian Dollar');</v>
      </c>
    </row>
    <row r="16" spans="1:6" x14ac:dyDescent="0.25">
      <c r="A16" s="3" t="s">
        <v>209</v>
      </c>
      <c r="B16" s="4" t="s">
        <v>210</v>
      </c>
      <c r="C16" t="str">
        <f>VLOOKUP("*"&amp;B16&amp;"*",currCode_Type!A:C,2,FALSE)</f>
        <v>EUR</v>
      </c>
      <c r="D16" t="str">
        <f>VLOOKUP("*"&amp;B16&amp;"*",currCode_Type!A:C,3,FALSE)</f>
        <v>Euro</v>
      </c>
      <c r="E16" s="9" t="str">
        <f t="shared" si="0"/>
        <v>INSERT INTO oecd_currencies (iso_country, country_name, iso_curry, curry_name) VALUES ('AT','AUSTRIA','EUR','Euro');</v>
      </c>
      <c r="F16" s="11" t="str">
        <f t="shared" si="1"/>
        <v>INSERT INTO oecd_currencies (iso_country, country_name, iso_curry, curry_name) VALUES ('AT','AUSTRIA','EUR','Euro');</v>
      </c>
    </row>
    <row r="17" spans="1:6" x14ac:dyDescent="0.25">
      <c r="A17" s="1" t="s">
        <v>211</v>
      </c>
      <c r="B17" s="2" t="s">
        <v>212</v>
      </c>
      <c r="C17" t="str">
        <f>VLOOKUP("*"&amp;B17&amp;"*",currCode_Type!A:C,2,FALSE)</f>
        <v>AZN</v>
      </c>
      <c r="D17" t="str">
        <f>VLOOKUP("*"&amp;B17&amp;"*",currCode_Type!A:C,3,FALSE)</f>
        <v>Azerbaijanian Manat</v>
      </c>
      <c r="E17" s="9" t="str">
        <f t="shared" si="0"/>
        <v>INSERT INTO oecd_currencies (iso_country, country_name, iso_curry, curry_name) VALUES ('AZ','AZERBAIJAN','AZN','Azerbaijanian Manat');</v>
      </c>
      <c r="F17" s="11" t="str">
        <f t="shared" si="1"/>
        <v>INSERT INTO oecd_currencies (iso_country, country_name, iso_curry, curry_name) VALUES ('AZ','AZERBAIJAN','AZN','Azerbaijanian Manat');</v>
      </c>
    </row>
    <row r="18" spans="1:6" x14ac:dyDescent="0.25">
      <c r="A18" s="3" t="s">
        <v>213</v>
      </c>
      <c r="B18" s="4" t="s">
        <v>214</v>
      </c>
      <c r="C18" t="str">
        <f>VLOOKUP("*"&amp;B18&amp;"*",currCode_Type!A:C,2,FALSE)</f>
        <v>BSD</v>
      </c>
      <c r="D18" t="str">
        <f>VLOOKUP("*"&amp;B18&amp;"*",currCode_Type!A:C,3,FALSE)</f>
        <v>Bahamian Dollar</v>
      </c>
      <c r="E18" s="9" t="str">
        <f t="shared" si="0"/>
        <v>INSERT INTO oecd_currencies (iso_country, country_name, iso_curry, curry_name) VALUES ('BS','BAHAMAS','BSD','Bahamian Dollar');</v>
      </c>
      <c r="F18" s="11" t="str">
        <f t="shared" si="1"/>
        <v>INSERT INTO oecd_currencies (iso_country, country_name, iso_curry, curry_name) VALUES ('BS','BAHAMAS','BSD','Bahamian Dollar');</v>
      </c>
    </row>
    <row r="19" spans="1:6" x14ac:dyDescent="0.25">
      <c r="A19" s="1" t="s">
        <v>215</v>
      </c>
      <c r="B19" s="2" t="s">
        <v>216</v>
      </c>
      <c r="C19" t="str">
        <f>VLOOKUP("*"&amp;B19&amp;"*",currCode_Type!A:C,2,FALSE)</f>
        <v>BHD</v>
      </c>
      <c r="D19" t="str">
        <f>VLOOKUP("*"&amp;B19&amp;"*",currCode_Type!A:C,3,FALSE)</f>
        <v>Bahraini Dinar</v>
      </c>
      <c r="E19" s="9" t="str">
        <f t="shared" si="0"/>
        <v>INSERT INTO oecd_currencies (iso_country, country_name, iso_curry, curry_name) VALUES ('BH','BAHRAIN','BHD','Bahraini Dinar');</v>
      </c>
      <c r="F19" s="11" t="str">
        <f t="shared" si="1"/>
        <v>INSERT INTO oecd_currencies (iso_country, country_name, iso_curry, curry_name) VALUES ('BH','BAHRAIN','BHD','Bahraini Dinar');</v>
      </c>
    </row>
    <row r="20" spans="1:6" x14ac:dyDescent="0.25">
      <c r="A20" s="3" t="s">
        <v>217</v>
      </c>
      <c r="B20" s="4" t="s">
        <v>218</v>
      </c>
      <c r="C20" t="str">
        <f>VLOOKUP("*"&amp;B20&amp;"*",currCode_Type!A:C,2,FALSE)</f>
        <v>BDT</v>
      </c>
      <c r="D20" t="str">
        <f>VLOOKUP("*"&amp;B20&amp;"*",currCode_Type!A:C,3,FALSE)</f>
        <v>Taka</v>
      </c>
      <c r="E20" s="9" t="str">
        <f t="shared" si="0"/>
        <v>INSERT INTO oecd_currencies (iso_country, country_name, iso_curry, curry_name) VALUES ('BD','BANGLADESH','BDT','Taka');</v>
      </c>
      <c r="F20" s="11" t="str">
        <f t="shared" si="1"/>
        <v>INSERT INTO oecd_currencies (iso_country, country_name, iso_curry, curry_name) VALUES ('BD','BANGLADESH','BDT','Taka');</v>
      </c>
    </row>
    <row r="21" spans="1:6" x14ac:dyDescent="0.25">
      <c r="A21" s="1" t="s">
        <v>219</v>
      </c>
      <c r="B21" s="2" t="s">
        <v>220</v>
      </c>
      <c r="C21" t="str">
        <f>VLOOKUP("*"&amp;B21&amp;"*",currCode_Type!A:C,2,FALSE)</f>
        <v>BBD</v>
      </c>
      <c r="D21" t="str">
        <f>VLOOKUP("*"&amp;B21&amp;"*",currCode_Type!A:C,3,FALSE)</f>
        <v>Barbados Dollar</v>
      </c>
      <c r="E21" s="9" t="str">
        <f t="shared" si="0"/>
        <v>INSERT INTO oecd_currencies (iso_country, country_name, iso_curry, curry_name) VALUES ('BB','BARBADOS','BBD','Barbados Dollar');</v>
      </c>
      <c r="F21" s="11" t="str">
        <f t="shared" si="1"/>
        <v>INSERT INTO oecd_currencies (iso_country, country_name, iso_curry, curry_name) VALUES ('BB','BARBADOS','BBD','Barbados Dollar');</v>
      </c>
    </row>
    <row r="22" spans="1:6" x14ac:dyDescent="0.25">
      <c r="A22" s="3" t="s">
        <v>221</v>
      </c>
      <c r="B22" s="4" t="s">
        <v>222</v>
      </c>
      <c r="C22" t="str">
        <f>VLOOKUP("*"&amp;B22&amp;"*",currCode_Type!A:C,2,FALSE)</f>
        <v>BYR</v>
      </c>
      <c r="D22" t="str">
        <f>VLOOKUP("*"&amp;B22&amp;"*",currCode_Type!A:C,3,FALSE)</f>
        <v>Belarussian Ruble</v>
      </c>
      <c r="E22" s="9" t="str">
        <f t="shared" si="0"/>
        <v>INSERT INTO oecd_currencies (iso_country, country_name, iso_curry, curry_name) VALUES ('BY','BELARUS','BYR','Belarussian Ruble');</v>
      </c>
      <c r="F22" s="11" t="str">
        <f t="shared" si="1"/>
        <v>INSERT INTO oecd_currencies (iso_country, country_name, iso_curry, curry_name) VALUES ('BY','BELARUS','BYR','Belarussian Ruble');</v>
      </c>
    </row>
    <row r="23" spans="1:6" x14ac:dyDescent="0.25">
      <c r="A23" s="1" t="s">
        <v>223</v>
      </c>
      <c r="B23" s="2" t="s">
        <v>224</v>
      </c>
      <c r="C23" t="str">
        <f>VLOOKUP("*"&amp;B23&amp;"*",currCode_Type!A:C,2,FALSE)</f>
        <v>EUR</v>
      </c>
      <c r="D23" t="str">
        <f>VLOOKUP("*"&amp;B23&amp;"*",currCode_Type!A:C,3,FALSE)</f>
        <v>Euro</v>
      </c>
      <c r="E23" s="9" t="str">
        <f t="shared" si="0"/>
        <v>INSERT INTO oecd_currencies (iso_country, country_name, iso_curry, curry_name) VALUES ('BE','BELGIUM','EUR','Euro');</v>
      </c>
      <c r="F23" s="11" t="str">
        <f t="shared" si="1"/>
        <v>INSERT INTO oecd_currencies (iso_country, country_name, iso_curry, curry_name) VALUES ('BE','BELGIUM','EUR','Euro');</v>
      </c>
    </row>
    <row r="24" spans="1:6" x14ac:dyDescent="0.25">
      <c r="A24" s="3" t="s">
        <v>225</v>
      </c>
      <c r="B24" s="4" t="s">
        <v>226</v>
      </c>
      <c r="C24" t="str">
        <f>VLOOKUP("*"&amp;B24&amp;"*",currCode_Type!A:C,2,FALSE)</f>
        <v>BZD</v>
      </c>
      <c r="D24" t="str">
        <f>VLOOKUP("*"&amp;B24&amp;"*",currCode_Type!A:C,3,FALSE)</f>
        <v>Belize Dollar</v>
      </c>
      <c r="E24" s="9" t="str">
        <f t="shared" si="0"/>
        <v>INSERT INTO oecd_currencies (iso_country, country_name, iso_curry, curry_name) VALUES ('BZ','BELIZE','BZD','Belize Dollar');</v>
      </c>
      <c r="F24" s="11" t="str">
        <f t="shared" si="1"/>
        <v>INSERT INTO oecd_currencies (iso_country, country_name, iso_curry, curry_name) VALUES ('BZ','BELIZE','BZD','Belize Dollar');</v>
      </c>
    </row>
    <row r="25" spans="1:6" x14ac:dyDescent="0.25">
      <c r="A25" s="1" t="s">
        <v>227</v>
      </c>
      <c r="B25" s="2" t="s">
        <v>228</v>
      </c>
      <c r="C25" t="str">
        <f>VLOOKUP("*"&amp;B25&amp;"*",currCode_Type!A:C,2,FALSE)</f>
        <v>XOF</v>
      </c>
      <c r="D25" t="str">
        <f>VLOOKUP("*"&amp;B25&amp;"*",currCode_Type!A:C,3,FALSE)</f>
        <v>CFA Franc BCEAO</v>
      </c>
      <c r="E25" s="9" t="str">
        <f t="shared" si="0"/>
        <v>INSERT INTO oecd_currencies (iso_country, country_name, iso_curry, curry_name) VALUES ('BJ','BENIN','XOF','CFA Franc BCEAO');</v>
      </c>
      <c r="F25" s="11" t="str">
        <f t="shared" si="1"/>
        <v>INSERT INTO oecd_currencies (iso_country, country_name, iso_curry, curry_name) VALUES ('BJ','BENIN','XOF','CFA Franc BCEAO');</v>
      </c>
    </row>
    <row r="26" spans="1:6" x14ac:dyDescent="0.25">
      <c r="A26" s="3" t="s">
        <v>229</v>
      </c>
      <c r="B26" s="4" t="s">
        <v>230</v>
      </c>
      <c r="C26" t="str">
        <f>VLOOKUP("*"&amp;B26&amp;"*",currCode_Type!A:C,2,FALSE)</f>
        <v>BMD</v>
      </c>
      <c r="D26" t="str">
        <f>VLOOKUP("*"&amp;B26&amp;"*",currCode_Type!A:C,3,FALSE)</f>
        <v>Bermudian Dollar</v>
      </c>
      <c r="E26" s="9" t="str">
        <f t="shared" si="0"/>
        <v>INSERT INTO oecd_currencies (iso_country, country_name, iso_curry, curry_name) VALUES ('BM','BERMUDA','BMD','Bermudian Dollar');</v>
      </c>
      <c r="F26" s="11" t="str">
        <f t="shared" si="1"/>
        <v>INSERT INTO oecd_currencies (iso_country, country_name, iso_curry, curry_name) VALUES ('BM','BERMUDA','BMD','Bermudian Dollar');</v>
      </c>
    </row>
    <row r="27" spans="1:6" x14ac:dyDescent="0.25">
      <c r="A27" s="1" t="s">
        <v>231</v>
      </c>
      <c r="B27" s="2" t="s">
        <v>232</v>
      </c>
      <c r="C27" t="str">
        <f>VLOOKUP("*"&amp;B27&amp;"*",currCode_Type!A:C,2,FALSE)</f>
        <v>BTN</v>
      </c>
      <c r="D27" t="str">
        <f>VLOOKUP("*"&amp;B27&amp;"*",currCode_Type!A:C,3,FALSE)</f>
        <v>Ngultrum</v>
      </c>
      <c r="E27" s="9" t="str">
        <f t="shared" si="0"/>
        <v>INSERT INTO oecd_currencies (iso_country, country_name, iso_curry, curry_name) VALUES ('BT','BHUTAN','BTN','Ngultrum');</v>
      </c>
      <c r="F27" s="11" t="str">
        <f t="shared" si="1"/>
        <v>INSERT INTO oecd_currencies (iso_country, country_name, iso_curry, curry_name) VALUES ('BT','BHUTAN','BTN','Ngultrum');</v>
      </c>
    </row>
    <row r="28" spans="1:6" x14ac:dyDescent="0.25">
      <c r="A28" s="3" t="s">
        <v>233</v>
      </c>
      <c r="B28" s="4" t="s">
        <v>234</v>
      </c>
      <c r="C28" t="str">
        <f>VLOOKUP("*"&amp;B28&amp;"*",currCode_Type!A:C,2,FALSE)</f>
        <v>BOB</v>
      </c>
      <c r="D28" t="str">
        <f>VLOOKUP("*"&amp;B28&amp;"*",currCode_Type!A:C,3,FALSE)</f>
        <v>Boliviano</v>
      </c>
      <c r="E28" s="9" t="str">
        <f t="shared" si="0"/>
        <v>INSERT INTO oecd_currencies (iso_country, country_name, iso_curry, curry_name) VALUES ('BO','BOLIVIA, PLURINATIONAL STATE OF','BOB','Boliviano');</v>
      </c>
      <c r="F28" s="11" t="str">
        <f t="shared" si="1"/>
        <v>INSERT INTO oecd_currencies (iso_country, country_name, iso_curry, curry_name) VALUES ('BO','BOLIVIA, PLURINATIONAL STATE OF','BOB','Boliviano');</v>
      </c>
    </row>
    <row r="29" spans="1:6" x14ac:dyDescent="0.25">
      <c r="A29" s="1" t="s">
        <v>235</v>
      </c>
      <c r="B29" s="2" t="s">
        <v>236</v>
      </c>
      <c r="C29" t="e">
        <f>VLOOKUP("*"&amp;B29&amp;"*",currCode_Type!A:C,2,FALSE)</f>
        <v>#N/A</v>
      </c>
      <c r="D29" t="e">
        <f>VLOOKUP("*"&amp;B29&amp;"*",currCode_Type!A:C,3,FALSE)</f>
        <v>#N/A</v>
      </c>
      <c r="E29" s="9" t="e">
        <f t="shared" si="0"/>
        <v>#N/A</v>
      </c>
      <c r="F29" s="11" t="e">
        <f t="shared" si="1"/>
        <v>#N/A</v>
      </c>
    </row>
    <row r="30" spans="1:6" x14ac:dyDescent="0.25">
      <c r="A30" s="3" t="s">
        <v>237</v>
      </c>
      <c r="B30" s="4" t="s">
        <v>238</v>
      </c>
      <c r="C30" t="str">
        <f>VLOOKUP("*"&amp;B30&amp;"*",currCode_Type!A:C,2,FALSE)</f>
        <v>BAM</v>
      </c>
      <c r="D30" t="str">
        <f>VLOOKUP("*"&amp;B30&amp;"*",currCode_Type!A:C,3,FALSE)</f>
        <v>Convertible Mark</v>
      </c>
      <c r="E30" s="9" t="str">
        <f t="shared" si="0"/>
        <v>INSERT INTO oecd_currencies (iso_country, country_name, iso_curry, curry_name) VALUES ('BA','BOSNIA AND HERZEGOVINA','BAM','Convertible Mark');</v>
      </c>
      <c r="F30" s="11" t="str">
        <f t="shared" si="1"/>
        <v>INSERT INTO oecd_currencies (iso_country, country_name, iso_curry, curry_name) VALUES ('BA','BOSNIA AND HERZEGOVINA','BAM','Convertible Mark');</v>
      </c>
    </row>
    <row r="31" spans="1:6" x14ac:dyDescent="0.25">
      <c r="A31" s="1" t="s">
        <v>239</v>
      </c>
      <c r="B31" s="2" t="s">
        <v>240</v>
      </c>
      <c r="C31" t="str">
        <f>VLOOKUP("*"&amp;B31&amp;"*",currCode_Type!A:C,2,FALSE)</f>
        <v>BWP</v>
      </c>
      <c r="D31" t="str">
        <f>VLOOKUP("*"&amp;B31&amp;"*",currCode_Type!A:C,3,FALSE)</f>
        <v>Pula</v>
      </c>
      <c r="E31" s="9" t="str">
        <f t="shared" si="0"/>
        <v>INSERT INTO oecd_currencies (iso_country, country_name, iso_curry, curry_name) VALUES ('BW','BOTSWANA','BWP','Pula');</v>
      </c>
      <c r="F31" s="11" t="str">
        <f t="shared" si="1"/>
        <v>INSERT INTO oecd_currencies (iso_country, country_name, iso_curry, curry_name) VALUES ('BW','BOTSWANA','BWP','Pula');</v>
      </c>
    </row>
    <row r="32" spans="1:6" x14ac:dyDescent="0.25">
      <c r="A32" s="3" t="s">
        <v>241</v>
      </c>
      <c r="B32" s="4" t="s">
        <v>242</v>
      </c>
      <c r="C32" t="str">
        <f>VLOOKUP("*"&amp;B32&amp;"*",currCode_Type!A:C,2,FALSE)</f>
        <v>NOK</v>
      </c>
      <c r="D32" t="str">
        <f>VLOOKUP("*"&amp;B32&amp;"*",currCode_Type!A:C,3,FALSE)</f>
        <v>Norwegian Krone</v>
      </c>
      <c r="E32" s="9" t="str">
        <f t="shared" si="0"/>
        <v>INSERT INTO oecd_currencies (iso_country, country_name, iso_curry, curry_name) VALUES ('BV','BOUVET ISLAND','NOK','Norwegian Krone');</v>
      </c>
      <c r="F32" s="11" t="str">
        <f t="shared" si="1"/>
        <v>INSERT INTO oecd_currencies (iso_country, country_name, iso_curry, curry_name) VALUES ('BV','BOUVET ISLAND','NOK','Norwegian Krone');</v>
      </c>
    </row>
    <row r="33" spans="1:6" x14ac:dyDescent="0.25">
      <c r="A33" s="1" t="s">
        <v>243</v>
      </c>
      <c r="B33" s="2" t="s">
        <v>244</v>
      </c>
      <c r="C33" t="str">
        <f>VLOOKUP("*"&amp;B33&amp;"*",currCode_Type!A:C,2,FALSE)</f>
        <v>BRL</v>
      </c>
      <c r="D33" t="str">
        <f>VLOOKUP("*"&amp;B33&amp;"*",currCode_Type!A:C,3,FALSE)</f>
        <v>Brazilian Real</v>
      </c>
      <c r="E33" s="9" t="str">
        <f t="shared" si="0"/>
        <v>INSERT INTO oecd_currencies (iso_country, country_name, iso_curry, curry_name) VALUES ('BR','BRAZIL','BRL','Brazilian Real');</v>
      </c>
      <c r="F33" s="11" t="str">
        <f t="shared" si="1"/>
        <v>INSERT INTO oecd_currencies (iso_country, country_name, iso_curry, curry_name) VALUES ('BR','BRAZIL','BRL','Brazilian Real');</v>
      </c>
    </row>
    <row r="34" spans="1:6" x14ac:dyDescent="0.25">
      <c r="A34" s="3" t="s">
        <v>245</v>
      </c>
      <c r="B34" s="4" t="s">
        <v>246</v>
      </c>
      <c r="C34" t="str">
        <f>VLOOKUP("*"&amp;B34&amp;"*",currCode_Type!A:C,2,FALSE)</f>
        <v>USD</v>
      </c>
      <c r="D34" t="str">
        <f>VLOOKUP("*"&amp;B34&amp;"*",currCode_Type!A:C,3,FALSE)</f>
        <v>US Dollar</v>
      </c>
      <c r="E34" s="9" t="str">
        <f t="shared" si="0"/>
        <v>INSERT INTO oecd_currencies (iso_country, country_name, iso_curry, curry_name) VALUES ('IO','BRITISH INDIAN OCEAN TERRITORY','USD','US Dollar');</v>
      </c>
      <c r="F34" s="11" t="str">
        <f t="shared" si="1"/>
        <v>INSERT INTO oecd_currencies (iso_country, country_name, iso_curry, curry_name) VALUES ('IO','BRITISH INDIAN OCEAN TERRITORY','USD','US Dollar');</v>
      </c>
    </row>
    <row r="35" spans="1:6" x14ac:dyDescent="0.25">
      <c r="A35" s="1" t="s">
        <v>247</v>
      </c>
      <c r="B35" s="2" t="s">
        <v>248</v>
      </c>
      <c r="C35" t="str">
        <f>VLOOKUP("*"&amp;B35&amp;"*",currCode_Type!A:C,2,FALSE)</f>
        <v>BND</v>
      </c>
      <c r="D35" t="str">
        <f>VLOOKUP("*"&amp;B35&amp;"*",currCode_Type!A:C,3,FALSE)</f>
        <v>Brunei Dollar</v>
      </c>
      <c r="E35" s="9" t="str">
        <f t="shared" si="0"/>
        <v>INSERT INTO oecd_currencies (iso_country, country_name, iso_curry, curry_name) VALUES ('BN','BRUNEI DARUSSALAM','BND','Brunei Dollar');</v>
      </c>
      <c r="F35" s="11" t="str">
        <f t="shared" si="1"/>
        <v>INSERT INTO oecd_currencies (iso_country, country_name, iso_curry, curry_name) VALUES ('BN','BRUNEI DARUSSALAM','BND','Brunei Dollar');</v>
      </c>
    </row>
    <row r="36" spans="1:6" x14ac:dyDescent="0.25">
      <c r="A36" s="3" t="s">
        <v>249</v>
      </c>
      <c r="B36" s="4" t="s">
        <v>250</v>
      </c>
      <c r="C36" t="str">
        <f>VLOOKUP("*"&amp;B36&amp;"*",currCode_Type!A:C,2,FALSE)</f>
        <v>BGN</v>
      </c>
      <c r="D36" t="str">
        <f>VLOOKUP("*"&amp;B36&amp;"*",currCode_Type!A:C,3,FALSE)</f>
        <v>Bulgarian Lev</v>
      </c>
      <c r="E36" s="9" t="str">
        <f t="shared" si="0"/>
        <v>INSERT INTO oecd_currencies (iso_country, country_name, iso_curry, curry_name) VALUES ('BG','BULGARIA','BGN','Bulgarian Lev');</v>
      </c>
      <c r="F36" s="11" t="str">
        <f t="shared" si="1"/>
        <v>INSERT INTO oecd_currencies (iso_country, country_name, iso_curry, curry_name) VALUES ('BG','BULGARIA','BGN','Bulgarian Lev');</v>
      </c>
    </row>
    <row r="37" spans="1:6" x14ac:dyDescent="0.25">
      <c r="A37" s="1" t="s">
        <v>251</v>
      </c>
      <c r="B37" s="2" t="s">
        <v>252</v>
      </c>
      <c r="C37" t="str">
        <f>VLOOKUP("*"&amp;B37&amp;"*",currCode_Type!A:C,2,FALSE)</f>
        <v>XOF</v>
      </c>
      <c r="D37" t="str">
        <f>VLOOKUP("*"&amp;B37&amp;"*",currCode_Type!A:C,3,FALSE)</f>
        <v>CFA Franc BCEAO</v>
      </c>
      <c r="E37" s="9" t="str">
        <f t="shared" si="0"/>
        <v>INSERT INTO oecd_currencies (iso_country, country_name, iso_curry, curry_name) VALUES ('BF','BURKINA FASO','XOF','CFA Franc BCEAO');</v>
      </c>
      <c r="F37" s="11" t="str">
        <f t="shared" si="1"/>
        <v>INSERT INTO oecd_currencies (iso_country, country_name, iso_curry, curry_name) VALUES ('BF','BURKINA FASO','XOF','CFA Franc BCEAO');</v>
      </c>
    </row>
    <row r="38" spans="1:6" x14ac:dyDescent="0.25">
      <c r="A38" s="3" t="s">
        <v>253</v>
      </c>
      <c r="B38" s="4" t="s">
        <v>254</v>
      </c>
      <c r="C38" t="str">
        <f>VLOOKUP("*"&amp;B38&amp;"*",currCode_Type!A:C,2,FALSE)</f>
        <v>BIF</v>
      </c>
      <c r="D38" t="str">
        <f>VLOOKUP("*"&amp;B38&amp;"*",currCode_Type!A:C,3,FALSE)</f>
        <v>Burundi Franc</v>
      </c>
      <c r="E38" s="9" t="str">
        <f t="shared" si="0"/>
        <v>INSERT INTO oecd_currencies (iso_country, country_name, iso_curry, curry_name) VALUES ('BI','BURUNDI','BIF','Burundi Franc');</v>
      </c>
      <c r="F38" s="11" t="str">
        <f t="shared" si="1"/>
        <v>INSERT INTO oecd_currencies (iso_country, country_name, iso_curry, curry_name) VALUES ('BI','BURUNDI','BIF','Burundi Franc');</v>
      </c>
    </row>
    <row r="39" spans="1:6" x14ac:dyDescent="0.25">
      <c r="A39" s="1" t="s">
        <v>255</v>
      </c>
      <c r="B39" s="2" t="s">
        <v>256</v>
      </c>
      <c r="C39" t="str">
        <f>VLOOKUP("*"&amp;B39&amp;"*",currCode_Type!A:C,2,FALSE)</f>
        <v>KHR</v>
      </c>
      <c r="D39" t="str">
        <f>VLOOKUP("*"&amp;B39&amp;"*",currCode_Type!A:C,3,FALSE)</f>
        <v>Riel</v>
      </c>
      <c r="E39" s="9" t="str">
        <f t="shared" si="0"/>
        <v>INSERT INTO oecd_currencies (iso_country, country_name, iso_curry, curry_name) VALUES ('KH','CAMBODIA','KHR','Riel');</v>
      </c>
      <c r="F39" s="11" t="str">
        <f t="shared" si="1"/>
        <v>INSERT INTO oecd_currencies (iso_country, country_name, iso_curry, curry_name) VALUES ('KH','CAMBODIA','KHR','Riel');</v>
      </c>
    </row>
    <row r="40" spans="1:6" x14ac:dyDescent="0.25">
      <c r="A40" s="3" t="s">
        <v>257</v>
      </c>
      <c r="B40" s="4" t="s">
        <v>258</v>
      </c>
      <c r="C40" t="str">
        <f>VLOOKUP("*"&amp;B40&amp;"*",currCode_Type!A:C,2,FALSE)</f>
        <v>XAF</v>
      </c>
      <c r="D40" t="str">
        <f>VLOOKUP("*"&amp;B40&amp;"*",currCode_Type!A:C,3,FALSE)</f>
        <v>CFA Franc BEAC</v>
      </c>
      <c r="E40" s="9" t="str">
        <f t="shared" si="0"/>
        <v>INSERT INTO oecd_currencies (iso_country, country_name, iso_curry, curry_name) VALUES ('CM','CAMEROON','XAF','CFA Franc BEAC');</v>
      </c>
      <c r="F40" s="11" t="str">
        <f t="shared" si="1"/>
        <v>INSERT INTO oecd_currencies (iso_country, country_name, iso_curry, curry_name) VALUES ('CM','CAMEROON','XAF','CFA Franc BEAC');</v>
      </c>
    </row>
    <row r="41" spans="1:6" x14ac:dyDescent="0.25">
      <c r="A41" s="1" t="s">
        <v>259</v>
      </c>
      <c r="B41" s="2" t="s">
        <v>260</v>
      </c>
      <c r="C41" t="str">
        <f>VLOOKUP("*"&amp;B41&amp;"*",currCode_Type!A:C,2,FALSE)</f>
        <v>CAD</v>
      </c>
      <c r="D41" t="str">
        <f>VLOOKUP("*"&amp;B41&amp;"*",currCode_Type!A:C,3,FALSE)</f>
        <v>Canadian Dollar</v>
      </c>
      <c r="E41" s="9" t="str">
        <f t="shared" si="0"/>
        <v>INSERT INTO oecd_currencies (iso_country, country_name, iso_curry, curry_name) VALUES ('CA','CANADA','CAD','Canadian Dollar');</v>
      </c>
      <c r="F41" s="11" t="str">
        <f t="shared" si="1"/>
        <v>INSERT INTO oecd_currencies (iso_country, country_name, iso_curry, curry_name) VALUES ('CA','CANADA','CAD','Canadian Dollar');</v>
      </c>
    </row>
    <row r="42" spans="1:6" x14ac:dyDescent="0.25">
      <c r="A42" s="3" t="s">
        <v>261</v>
      </c>
      <c r="B42" s="4" t="s">
        <v>262</v>
      </c>
      <c r="C42" t="str">
        <f>VLOOKUP("*"&amp;B42&amp;"*",currCode_Type!A:C,2,FALSE)</f>
        <v>CVE</v>
      </c>
      <c r="D42" t="str">
        <f>VLOOKUP("*"&amp;B42&amp;"*",currCode_Type!A:C,3,FALSE)</f>
        <v>Cape Verde Escudo</v>
      </c>
      <c r="E42" s="9" t="str">
        <f t="shared" si="0"/>
        <v>INSERT INTO oecd_currencies (iso_country, country_name, iso_curry, curry_name) VALUES ('CV','CAPE VERDE','CVE','Cape Verde Escudo');</v>
      </c>
      <c r="F42" s="11" t="str">
        <f t="shared" si="1"/>
        <v>INSERT INTO oecd_currencies (iso_country, country_name, iso_curry, curry_name) VALUES ('CV','CAPE VERDE','CVE','Cape Verde Escudo');</v>
      </c>
    </row>
    <row r="43" spans="1:6" x14ac:dyDescent="0.25">
      <c r="A43" s="1" t="s">
        <v>263</v>
      </c>
      <c r="B43" s="2" t="s">
        <v>264</v>
      </c>
      <c r="C43" t="str">
        <f>VLOOKUP("*"&amp;B43&amp;"*",currCode_Type!A:C,2,FALSE)</f>
        <v>KYD</v>
      </c>
      <c r="D43" t="str">
        <f>VLOOKUP("*"&amp;B43&amp;"*",currCode_Type!A:C,3,FALSE)</f>
        <v>Cayman Islands Dollar</v>
      </c>
      <c r="E43" s="9" t="str">
        <f t="shared" si="0"/>
        <v>INSERT INTO oecd_currencies (iso_country, country_name, iso_curry, curry_name) VALUES ('KY','CAYMAN ISLANDS','KYD','Cayman Islands Dollar');</v>
      </c>
      <c r="F43" s="11" t="str">
        <f t="shared" si="1"/>
        <v>INSERT INTO oecd_currencies (iso_country, country_name, iso_curry, curry_name) VALUES ('KY','CAYMAN ISLANDS','KYD','Cayman Islands Dollar');</v>
      </c>
    </row>
    <row r="44" spans="1:6" x14ac:dyDescent="0.25">
      <c r="A44" s="3" t="s">
        <v>265</v>
      </c>
      <c r="B44" s="4" t="s">
        <v>266</v>
      </c>
      <c r="C44" t="str">
        <f>VLOOKUP("*"&amp;B44&amp;"*",currCode_Type!A:C,2,FALSE)</f>
        <v>XAF</v>
      </c>
      <c r="D44" t="str">
        <f>VLOOKUP("*"&amp;B44&amp;"*",currCode_Type!A:C,3,FALSE)</f>
        <v>CFA Franc BEAC</v>
      </c>
      <c r="E44" s="9" t="str">
        <f t="shared" si="0"/>
        <v>INSERT INTO oecd_currencies (iso_country, country_name, iso_curry, curry_name) VALUES ('CF','CENTRAL AFRICAN REPUBLIC','XAF','CFA Franc BEAC');</v>
      </c>
      <c r="F44" s="11" t="str">
        <f t="shared" si="1"/>
        <v>INSERT INTO oecd_currencies (iso_country, country_name, iso_curry, curry_name) VALUES ('CF','CENTRAL AFRICAN REPUBLIC','XAF','CFA Franc BEAC');</v>
      </c>
    </row>
    <row r="45" spans="1:6" x14ac:dyDescent="0.25">
      <c r="A45" s="1" t="s">
        <v>267</v>
      </c>
      <c r="B45" s="2" t="s">
        <v>268</v>
      </c>
      <c r="C45" t="str">
        <f>VLOOKUP("*"&amp;B45&amp;"*",currCode_Type!A:C,2,FALSE)</f>
        <v>XAF</v>
      </c>
      <c r="D45" t="str">
        <f>VLOOKUP("*"&amp;B45&amp;"*",currCode_Type!A:C,3,FALSE)</f>
        <v>CFA Franc BEAC</v>
      </c>
      <c r="E45" s="9" t="str">
        <f t="shared" si="0"/>
        <v>INSERT INTO oecd_currencies (iso_country, country_name, iso_curry, curry_name) VALUES ('TD','CHAD','XAF','CFA Franc BEAC');</v>
      </c>
      <c r="F45" s="11" t="str">
        <f t="shared" si="1"/>
        <v>INSERT INTO oecd_currencies (iso_country, country_name, iso_curry, curry_name) VALUES ('TD','CHAD','XAF','CFA Franc BEAC');</v>
      </c>
    </row>
    <row r="46" spans="1:6" x14ac:dyDescent="0.25">
      <c r="A46" s="3" t="s">
        <v>269</v>
      </c>
      <c r="B46" s="4" t="s">
        <v>270</v>
      </c>
      <c r="C46" t="str">
        <f>VLOOKUP("*"&amp;B46&amp;"*",currCode_Type!A:C,2,FALSE)</f>
        <v>CLF</v>
      </c>
      <c r="D46" t="str">
        <f>VLOOKUP("*"&amp;B46&amp;"*",currCode_Type!A:C,3,FALSE)</f>
        <v>Unidades de fomento</v>
      </c>
      <c r="E46" s="9" t="str">
        <f t="shared" si="0"/>
        <v>INSERT INTO oecd_currencies (iso_country, country_name, iso_curry, curry_name) VALUES ('CL','CHILE','CLF','Unidades de fomento');</v>
      </c>
      <c r="F46" s="11" t="str">
        <f t="shared" si="1"/>
        <v>INSERT INTO oecd_currencies (iso_country, country_name, iso_curry, curry_name) VALUES ('CL','CHILE','CLF','Unidades de fomento');</v>
      </c>
    </row>
    <row r="47" spans="1:6" x14ac:dyDescent="0.25">
      <c r="A47" s="1" t="s">
        <v>271</v>
      </c>
      <c r="B47" s="2" t="s">
        <v>272</v>
      </c>
      <c r="C47" t="str">
        <f>VLOOKUP("*"&amp;B47&amp;"*",currCode_Type!A:C,2,FALSE)</f>
        <v>CNY</v>
      </c>
      <c r="D47" t="str">
        <f>VLOOKUP("*"&amp;B47&amp;"*",currCode_Type!A:C,3,FALSE)</f>
        <v>Yuan Renminbi</v>
      </c>
      <c r="E47" s="9" t="str">
        <f t="shared" si="0"/>
        <v>INSERT INTO oecd_currencies (iso_country, country_name, iso_curry, curry_name) VALUES ('CN','CHINA','CNY','Yuan Renminbi');</v>
      </c>
      <c r="F47" s="11" t="str">
        <f t="shared" si="1"/>
        <v>INSERT INTO oecd_currencies (iso_country, country_name, iso_curry, curry_name) VALUES ('CN','CHINA','CNY','Yuan Renminbi');</v>
      </c>
    </row>
    <row r="48" spans="1:6" x14ac:dyDescent="0.25">
      <c r="A48" s="3" t="s">
        <v>273</v>
      </c>
      <c r="B48" s="4" t="s">
        <v>274</v>
      </c>
      <c r="C48" t="str">
        <f>VLOOKUP("*"&amp;B48&amp;"*",currCode_Type!A:C,2,FALSE)</f>
        <v>AUD</v>
      </c>
      <c r="D48" t="str">
        <f>VLOOKUP("*"&amp;B48&amp;"*",currCode_Type!A:C,3,FALSE)</f>
        <v>Australian Dollar</v>
      </c>
      <c r="E48" s="9" t="str">
        <f t="shared" si="0"/>
        <v>INSERT INTO oecd_currencies (iso_country, country_name, iso_curry, curry_name) VALUES ('CX','CHRISTMAS ISLAND','AUD','Australian Dollar');</v>
      </c>
      <c r="F48" s="11" t="str">
        <f t="shared" si="1"/>
        <v>INSERT INTO oecd_currencies (iso_country, country_name, iso_curry, curry_name) VALUES ('CX','CHRISTMAS ISLAND','AUD','Australian Dollar');</v>
      </c>
    </row>
    <row r="49" spans="1:6" x14ac:dyDescent="0.25">
      <c r="A49" s="1" t="s">
        <v>275</v>
      </c>
      <c r="B49" s="2" t="s">
        <v>276</v>
      </c>
      <c r="C49" t="str">
        <f>VLOOKUP("*"&amp;B49&amp;"*",currCode_Type!A:C,2,FALSE)</f>
        <v>AUD</v>
      </c>
      <c r="D49" t="str">
        <f>VLOOKUP("*"&amp;B49&amp;"*",currCode_Type!A:C,3,FALSE)</f>
        <v>Australian Dollar</v>
      </c>
      <c r="E49" s="9" t="str">
        <f t="shared" si="0"/>
        <v>INSERT INTO oecd_currencies (iso_country, country_name, iso_curry, curry_name) VALUES ('CC','COCOS (KEELING) ISLANDS','AUD','Australian Dollar');</v>
      </c>
      <c r="F49" s="11" t="str">
        <f t="shared" si="1"/>
        <v>INSERT INTO oecd_currencies (iso_country, country_name, iso_curry, curry_name) VALUES ('CC','COCOS (KEELING) ISLANDS','AUD','Australian Dollar');</v>
      </c>
    </row>
    <row r="50" spans="1:6" x14ac:dyDescent="0.25">
      <c r="A50" s="3" t="s">
        <v>277</v>
      </c>
      <c r="B50" s="4" t="s">
        <v>278</v>
      </c>
      <c r="C50" t="str">
        <f>VLOOKUP("*"&amp;B50&amp;"*",currCode_Type!A:C,2,FALSE)</f>
        <v>COP</v>
      </c>
      <c r="D50" t="str">
        <f>VLOOKUP("*"&amp;B50&amp;"*",currCode_Type!A:C,3,FALSE)</f>
        <v>Colombian Peso</v>
      </c>
      <c r="E50" s="9" t="str">
        <f t="shared" si="0"/>
        <v>INSERT INTO oecd_currencies (iso_country, country_name, iso_curry, curry_name) VALUES ('CO','COLOMBIA','COP','Colombian Peso');</v>
      </c>
      <c r="F50" s="11" t="str">
        <f t="shared" si="1"/>
        <v>INSERT INTO oecd_currencies (iso_country, country_name, iso_curry, curry_name) VALUES ('CO','COLOMBIA','COP','Colombian Peso');</v>
      </c>
    </row>
    <row r="51" spans="1:6" x14ac:dyDescent="0.25">
      <c r="A51" s="1" t="s">
        <v>279</v>
      </c>
      <c r="B51" s="2" t="s">
        <v>280</v>
      </c>
      <c r="C51" t="str">
        <f>VLOOKUP("*"&amp;B51&amp;"*",currCode_Type!A:C,2,FALSE)</f>
        <v>KMF</v>
      </c>
      <c r="D51" t="str">
        <f>VLOOKUP("*"&amp;B51&amp;"*",currCode_Type!A:C,3,FALSE)</f>
        <v>Comoro Franc</v>
      </c>
      <c r="E51" s="9" t="str">
        <f t="shared" si="0"/>
        <v>INSERT INTO oecd_currencies (iso_country, country_name, iso_curry, curry_name) VALUES ('KM','COMOROS','KMF','Comoro Franc');</v>
      </c>
      <c r="F51" s="11" t="str">
        <f t="shared" si="1"/>
        <v>INSERT INTO oecd_currencies (iso_country, country_name, iso_curry, curry_name) VALUES ('KM','COMOROS','KMF','Comoro Franc');</v>
      </c>
    </row>
    <row r="52" spans="1:6" x14ac:dyDescent="0.25">
      <c r="A52" s="3" t="s">
        <v>281</v>
      </c>
      <c r="B52" s="4" t="s">
        <v>282</v>
      </c>
      <c r="C52" t="str">
        <f>VLOOKUP("*"&amp;B52&amp;"*",currCode_Type!A:C,2,FALSE)</f>
        <v>CDF</v>
      </c>
      <c r="D52" t="str">
        <f>VLOOKUP("*"&amp;B52&amp;"*",currCode_Type!A:C,3,FALSE)</f>
        <v>Congolese Franc</v>
      </c>
      <c r="E52" s="9" t="str">
        <f t="shared" si="0"/>
        <v>INSERT INTO oecd_currencies (iso_country, country_name, iso_curry, curry_name) VALUES ('CG','CONGO','CDF','Congolese Franc');</v>
      </c>
      <c r="F52" s="11" t="str">
        <f t="shared" si="1"/>
        <v>INSERT INTO oecd_currencies (iso_country, country_name, iso_curry, curry_name) VALUES ('CG','CONGO','CDF','Congolese Franc');</v>
      </c>
    </row>
    <row r="53" spans="1:6" x14ac:dyDescent="0.25">
      <c r="A53" s="1" t="s">
        <v>283</v>
      </c>
      <c r="B53" s="2" t="s">
        <v>284</v>
      </c>
      <c r="C53" t="e">
        <f>VLOOKUP("*"&amp;B53&amp;"*",currCode_Type!A:C,2,FALSE)</f>
        <v>#N/A</v>
      </c>
      <c r="D53" t="e">
        <f>VLOOKUP("*"&amp;B53&amp;"*",currCode_Type!A:C,3,FALSE)</f>
        <v>#N/A</v>
      </c>
      <c r="E53" s="9" t="e">
        <f t="shared" si="0"/>
        <v>#N/A</v>
      </c>
      <c r="F53" s="11" t="e">
        <f t="shared" si="1"/>
        <v>#N/A</v>
      </c>
    </row>
    <row r="54" spans="1:6" x14ac:dyDescent="0.25">
      <c r="A54" s="3" t="s">
        <v>285</v>
      </c>
      <c r="B54" s="4" t="s">
        <v>286</v>
      </c>
      <c r="C54" t="str">
        <f>VLOOKUP("*"&amp;B54&amp;"*",currCode_Type!A:C,2,FALSE)</f>
        <v>NZD</v>
      </c>
      <c r="D54" t="str">
        <f>VLOOKUP("*"&amp;B54&amp;"*",currCode_Type!A:C,3,FALSE)</f>
        <v>New Zealand Dollar</v>
      </c>
      <c r="E54" s="9" t="str">
        <f t="shared" si="0"/>
        <v>INSERT INTO oecd_currencies (iso_country, country_name, iso_curry, curry_name) VALUES ('CK','COOK ISLANDS','NZD','New Zealand Dollar');</v>
      </c>
      <c r="F54" s="11" t="str">
        <f t="shared" si="1"/>
        <v>INSERT INTO oecd_currencies (iso_country, country_name, iso_curry, curry_name) VALUES ('CK','COOK ISLANDS','NZD','New Zealand Dollar');</v>
      </c>
    </row>
    <row r="55" spans="1:6" x14ac:dyDescent="0.25">
      <c r="A55" s="1" t="s">
        <v>287</v>
      </c>
      <c r="B55" s="2" t="s">
        <v>288</v>
      </c>
      <c r="C55" t="str">
        <f>VLOOKUP("*"&amp;B55&amp;"*",currCode_Type!A:C,2,FALSE)</f>
        <v>CRC</v>
      </c>
      <c r="D55" t="str">
        <f>VLOOKUP("*"&amp;B55&amp;"*",currCode_Type!A:C,3,FALSE)</f>
        <v>Costa Rican Colon</v>
      </c>
      <c r="E55" s="9" t="str">
        <f t="shared" si="0"/>
        <v>INSERT INTO oecd_currencies (iso_country, country_name, iso_curry, curry_name) VALUES ('CR','COSTA RICA','CRC','Costa Rican Colon');</v>
      </c>
      <c r="F55" s="11" t="str">
        <f t="shared" si="1"/>
        <v>INSERT INTO oecd_currencies (iso_country, country_name, iso_curry, curry_name) VALUES ('CR','COSTA RICA','CRC','Costa Rican Colon');</v>
      </c>
    </row>
    <row r="56" spans="1:6" x14ac:dyDescent="0.25">
      <c r="A56" s="3" t="s">
        <v>289</v>
      </c>
      <c r="B56" s="4" t="s">
        <v>290</v>
      </c>
      <c r="C56" t="str">
        <f>VLOOKUP("*"&amp;B56&amp;"*",currCode_Type!A:C,2,FALSE)</f>
        <v>XOF</v>
      </c>
      <c r="D56" t="str">
        <f>VLOOKUP("*"&amp;B56&amp;"*",currCode_Type!A:C,3,FALSE)</f>
        <v>CFA Franc BCEAO</v>
      </c>
      <c r="E56" s="9" t="str">
        <f t="shared" si="0"/>
        <v>INSERT INTO oecd_currencies (iso_country, country_name, iso_curry, curry_name) VALUES ('CI','COTE D'IVOIRE','XOF','CFA Franc BCEAO');</v>
      </c>
      <c r="F56" s="11" t="str">
        <f t="shared" si="1"/>
        <v>INSERT INTO oecd_currencies (iso_country, country_name, iso_curry, curry_name) VALUES ('CI','COTE D'IVOIRE','XOF','CFA Franc BCEAO');</v>
      </c>
    </row>
    <row r="57" spans="1:6" x14ac:dyDescent="0.25">
      <c r="A57" s="1" t="s">
        <v>291</v>
      </c>
      <c r="B57" s="2" t="s">
        <v>292</v>
      </c>
      <c r="C57" t="str">
        <f>VLOOKUP("*"&amp;B57&amp;"*",currCode_Type!A:C,2,FALSE)</f>
        <v>HRK</v>
      </c>
      <c r="D57" t="str">
        <f>VLOOKUP("*"&amp;B57&amp;"*",currCode_Type!A:C,3,FALSE)</f>
        <v>Croatian Kuna</v>
      </c>
      <c r="E57" s="9" t="str">
        <f t="shared" si="0"/>
        <v>INSERT INTO oecd_currencies (iso_country, country_name, iso_curry, curry_name) VALUES ('HR','CROATIA','HRK','Croatian Kuna');</v>
      </c>
      <c r="F57" s="11" t="str">
        <f t="shared" si="1"/>
        <v>INSERT INTO oecd_currencies (iso_country, country_name, iso_curry, curry_name) VALUES ('HR','CROATIA','HRK','Croatian Kuna');</v>
      </c>
    </row>
    <row r="58" spans="1:6" x14ac:dyDescent="0.25">
      <c r="A58" s="3" t="s">
        <v>293</v>
      </c>
      <c r="B58" s="4" t="s">
        <v>294</v>
      </c>
      <c r="C58" t="str">
        <f>VLOOKUP("*"&amp;B58&amp;"*",currCode_Type!A:C,2,FALSE)</f>
        <v>CUC</v>
      </c>
      <c r="D58" t="str">
        <f>VLOOKUP("*"&amp;B58&amp;"*",currCode_Type!A:C,3,FALSE)</f>
        <v>Peso Convertible</v>
      </c>
      <c r="E58" s="9" t="str">
        <f t="shared" si="0"/>
        <v>INSERT INTO oecd_currencies (iso_country, country_name, iso_curry, curry_name) VALUES ('CU','CUBA','CUC','Peso Convertible');</v>
      </c>
      <c r="F58" s="11" t="str">
        <f t="shared" si="1"/>
        <v>INSERT INTO oecd_currencies (iso_country, country_name, iso_curry, curry_name) VALUES ('CU','CUBA','CUC','Peso Convertible');</v>
      </c>
    </row>
    <row r="59" spans="1:6" x14ac:dyDescent="0.25">
      <c r="A59" s="1" t="s">
        <v>295</v>
      </c>
      <c r="B59" s="2" t="s">
        <v>296</v>
      </c>
      <c r="C59" t="str">
        <f>VLOOKUP("*"&amp;B59&amp;"*",currCode_Type!A:C,2,FALSE)</f>
        <v>ANG</v>
      </c>
      <c r="D59" t="str">
        <f>VLOOKUP("*"&amp;B59&amp;"*",currCode_Type!A:C,3,FALSE)</f>
        <v>Netherlands Antillean Guilder</v>
      </c>
      <c r="E59" s="9" t="str">
        <f t="shared" si="0"/>
        <v>INSERT INTO oecd_currencies (iso_country, country_name, iso_curry, curry_name) VALUES ('CW','CURACAO','ANG','Netherlands Antillean Guilder');</v>
      </c>
      <c r="F59" s="11" t="str">
        <f t="shared" si="1"/>
        <v>INSERT INTO oecd_currencies (iso_country, country_name, iso_curry, curry_name) VALUES ('CW','CURACAO','ANG','Netherlands Antillean Guilder');</v>
      </c>
    </row>
    <row r="60" spans="1:6" x14ac:dyDescent="0.25">
      <c r="A60" s="3" t="s">
        <v>297</v>
      </c>
      <c r="B60" s="4" t="s">
        <v>298</v>
      </c>
      <c r="C60" t="str">
        <f>VLOOKUP("*"&amp;B60&amp;"*",currCode_Type!A:C,2,FALSE)</f>
        <v>EUR</v>
      </c>
      <c r="D60" t="str">
        <f>VLOOKUP("*"&amp;B60&amp;"*",currCode_Type!A:C,3,FALSE)</f>
        <v>Euro</v>
      </c>
      <c r="E60" s="9" t="str">
        <f t="shared" si="0"/>
        <v>INSERT INTO oecd_currencies (iso_country, country_name, iso_curry, curry_name) VALUES ('CY','CYPRUS','EUR','Euro');</v>
      </c>
      <c r="F60" s="11" t="str">
        <f t="shared" si="1"/>
        <v>INSERT INTO oecd_currencies (iso_country, country_name, iso_curry, curry_name) VALUES ('CY','CYPRUS','EUR','Euro');</v>
      </c>
    </row>
    <row r="61" spans="1:6" x14ac:dyDescent="0.25">
      <c r="A61" s="1" t="s">
        <v>299</v>
      </c>
      <c r="B61" s="2" t="s">
        <v>300</v>
      </c>
      <c r="C61" t="str">
        <f>VLOOKUP("*"&amp;B61&amp;"*",currCode_Type!A:C,2,FALSE)</f>
        <v>CZK</v>
      </c>
      <c r="D61" t="str">
        <f>VLOOKUP("*"&amp;B61&amp;"*",currCode_Type!A:C,3,FALSE)</f>
        <v>Czech Koruna</v>
      </c>
      <c r="E61" s="9" t="str">
        <f t="shared" si="0"/>
        <v>INSERT INTO oecd_currencies (iso_country, country_name, iso_curry, curry_name) VALUES ('CZ','CZECH REPUBLIC','CZK','Czech Koruna');</v>
      </c>
      <c r="F61" s="11" t="str">
        <f t="shared" si="1"/>
        <v>INSERT INTO oecd_currencies (iso_country, country_name, iso_curry, curry_name) VALUES ('CZ','CZECH REPUBLIC','CZK','Czech Koruna');</v>
      </c>
    </row>
    <row r="62" spans="1:6" x14ac:dyDescent="0.25">
      <c r="A62" s="3" t="s">
        <v>301</v>
      </c>
      <c r="B62" s="4" t="s">
        <v>302</v>
      </c>
      <c r="C62" t="str">
        <f>VLOOKUP("*"&amp;B62&amp;"*",currCode_Type!A:C,2,FALSE)</f>
        <v>DKK</v>
      </c>
      <c r="D62" t="str">
        <f>VLOOKUP("*"&amp;B62&amp;"*",currCode_Type!A:C,3,FALSE)</f>
        <v>Danish Krone</v>
      </c>
      <c r="E62" s="9" t="str">
        <f t="shared" si="0"/>
        <v>INSERT INTO oecd_currencies (iso_country, country_name, iso_curry, curry_name) VALUES ('DK','DENMARK','DKK','Danish Krone');</v>
      </c>
      <c r="F62" s="11" t="str">
        <f t="shared" si="1"/>
        <v>INSERT INTO oecd_currencies (iso_country, country_name, iso_curry, curry_name) VALUES ('DK','DENMARK','DKK','Danish Krone');</v>
      </c>
    </row>
    <row r="63" spans="1:6" x14ac:dyDescent="0.25">
      <c r="A63" s="1" t="s">
        <v>303</v>
      </c>
      <c r="B63" s="2" t="s">
        <v>304</v>
      </c>
      <c r="C63" t="str">
        <f>VLOOKUP("*"&amp;B63&amp;"*",currCode_Type!A:C,2,FALSE)</f>
        <v>DJF</v>
      </c>
      <c r="D63" t="str">
        <f>VLOOKUP("*"&amp;B63&amp;"*",currCode_Type!A:C,3,FALSE)</f>
        <v>Djibouti Franc</v>
      </c>
      <c r="E63" s="9" t="str">
        <f t="shared" si="0"/>
        <v>INSERT INTO oecd_currencies (iso_country, country_name, iso_curry, curry_name) VALUES ('DJ','DJIBOUTI','DJF','Djibouti Franc');</v>
      </c>
      <c r="F63" s="11" t="str">
        <f t="shared" si="1"/>
        <v>INSERT INTO oecd_currencies (iso_country, country_name, iso_curry, curry_name) VALUES ('DJ','DJIBOUTI','DJF','Djibouti Franc');</v>
      </c>
    </row>
    <row r="64" spans="1:6" x14ac:dyDescent="0.25">
      <c r="A64" s="3" t="s">
        <v>305</v>
      </c>
      <c r="B64" s="4" t="s">
        <v>306</v>
      </c>
      <c r="C64" t="str">
        <f>VLOOKUP("*"&amp;B64&amp;"*",currCode_Type!A:C,2,FALSE)</f>
        <v>DOP</v>
      </c>
      <c r="D64" t="str">
        <f>VLOOKUP("*"&amp;B64&amp;"*",currCode_Type!A:C,3,FALSE)</f>
        <v>Dominican Peso</v>
      </c>
      <c r="E64" s="9" t="str">
        <f t="shared" si="0"/>
        <v>INSERT INTO oecd_currencies (iso_country, country_name, iso_curry, curry_name) VALUES ('DM','DOMINICA','DOP','Dominican Peso');</v>
      </c>
      <c r="F64" s="11" t="str">
        <f t="shared" si="1"/>
        <v>INSERT INTO oecd_currencies (iso_country, country_name, iso_curry, curry_name) VALUES ('DM','DOMINICA','DOP','Dominican Peso');</v>
      </c>
    </row>
    <row r="65" spans="1:6" x14ac:dyDescent="0.25">
      <c r="A65" s="1" t="s">
        <v>307</v>
      </c>
      <c r="B65" s="2" t="s">
        <v>308</v>
      </c>
      <c r="C65" t="str">
        <f>VLOOKUP("*"&amp;B65&amp;"*",currCode_Type!A:C,2,FALSE)</f>
        <v>DOP</v>
      </c>
      <c r="D65" t="str">
        <f>VLOOKUP("*"&amp;B65&amp;"*",currCode_Type!A:C,3,FALSE)</f>
        <v>Dominican Peso</v>
      </c>
      <c r="E65" s="9" t="str">
        <f t="shared" si="0"/>
        <v>INSERT INTO oecd_currencies (iso_country, country_name, iso_curry, curry_name) VALUES ('DO','DOMINICAN REPUBLIC','DOP','Dominican Peso');</v>
      </c>
      <c r="F65" s="11" t="str">
        <f t="shared" si="1"/>
        <v>INSERT INTO oecd_currencies (iso_country, country_name, iso_curry, curry_name) VALUES ('DO','DOMINICAN REPUBLIC','DOP','Dominican Peso');</v>
      </c>
    </row>
    <row r="66" spans="1:6" x14ac:dyDescent="0.25">
      <c r="A66" s="3" t="s">
        <v>309</v>
      </c>
      <c r="B66" s="4" t="s">
        <v>310</v>
      </c>
      <c r="C66" t="str">
        <f>VLOOKUP("*"&amp;B66&amp;"*",currCode_Type!A:C,2,FALSE)</f>
        <v>USD</v>
      </c>
      <c r="D66" t="str">
        <f>VLOOKUP("*"&amp;B66&amp;"*",currCode_Type!A:C,3,FALSE)</f>
        <v>US Dollar</v>
      </c>
      <c r="E66" s="9" t="str">
        <f t="shared" si="0"/>
        <v>INSERT INTO oecd_currencies (iso_country, country_name, iso_curry, curry_name) VALUES ('EC','ECUADOR','USD','US Dollar');</v>
      </c>
      <c r="F66" s="11" t="str">
        <f t="shared" si="1"/>
        <v>INSERT INTO oecd_currencies (iso_country, country_name, iso_curry, curry_name) VALUES ('EC','ECUADOR','USD','US Dollar');</v>
      </c>
    </row>
    <row r="67" spans="1:6" x14ac:dyDescent="0.25">
      <c r="A67" s="1" t="s">
        <v>311</v>
      </c>
      <c r="B67" s="2" t="s">
        <v>312</v>
      </c>
      <c r="C67" t="str">
        <f>VLOOKUP("*"&amp;B67&amp;"*",currCode_Type!A:C,2,FALSE)</f>
        <v>EGP</v>
      </c>
      <c r="D67" t="str">
        <f>VLOOKUP("*"&amp;B67&amp;"*",currCode_Type!A:C,3,FALSE)</f>
        <v>Egyptian Pound</v>
      </c>
      <c r="E67" s="9" t="str">
        <f t="shared" ref="E67:E130" si="2">"INSERT INTO oecd_currencies (iso_country, country_name, iso_curry, curry_name) VALUES ("&amp;"'"&amp;A67&amp;"'"&amp;","&amp;"'"&amp;B67&amp;"'"&amp;","&amp;"'"&amp;C67&amp;"'"&amp;","&amp;"'"&amp;D67&amp;"'"&amp;");"</f>
        <v>INSERT INTO oecd_currencies (iso_country, country_name, iso_curry, curry_name) VALUES ('EG','EGYPT','EGP','Egyptian Pound');</v>
      </c>
      <c r="F67" s="11" t="str">
        <f t="shared" ref="F67:F130" si="3">"INSERT INTO oecd_currencies (iso_country, country_name, iso_curry, curry_name) VALUES ("&amp;"'"&amp;A67&amp;"'"&amp;","&amp;"'"&amp;B67&amp;"'"&amp;","&amp;"'"&amp;C67&amp;"'"&amp;","&amp;"'"&amp;D67&amp;"'"&amp;");"</f>
        <v>INSERT INTO oecd_currencies (iso_country, country_name, iso_curry, curry_name) VALUES ('EG','EGYPT','EGP','Egyptian Pound');</v>
      </c>
    </row>
    <row r="68" spans="1:6" x14ac:dyDescent="0.25">
      <c r="A68" s="3" t="s">
        <v>313</v>
      </c>
      <c r="B68" s="4" t="s">
        <v>314</v>
      </c>
      <c r="C68" t="str">
        <f>VLOOKUP("*"&amp;B68&amp;"*",currCode_Type!A:C,2,FALSE)</f>
        <v>SVC</v>
      </c>
      <c r="D68" t="str">
        <f>VLOOKUP("*"&amp;B68&amp;"*",currCode_Type!A:C,3,FALSE)</f>
        <v>El Salvador Colon</v>
      </c>
      <c r="E68" s="9" t="str">
        <f t="shared" si="2"/>
        <v>INSERT INTO oecd_currencies (iso_country, country_name, iso_curry, curry_name) VALUES ('SV','EL SALVADOR','SVC','El Salvador Colon');</v>
      </c>
      <c r="F68" s="11" t="str">
        <f t="shared" si="3"/>
        <v>INSERT INTO oecd_currencies (iso_country, country_name, iso_curry, curry_name) VALUES ('SV','EL SALVADOR','SVC','El Salvador Colon');</v>
      </c>
    </row>
    <row r="69" spans="1:6" x14ac:dyDescent="0.25">
      <c r="A69" s="1" t="s">
        <v>315</v>
      </c>
      <c r="B69" s="2" t="s">
        <v>316</v>
      </c>
      <c r="C69" t="str">
        <f>VLOOKUP("*"&amp;B69&amp;"*",currCode_Type!A:C,2,FALSE)</f>
        <v>XAF</v>
      </c>
      <c r="D69" t="str">
        <f>VLOOKUP("*"&amp;B69&amp;"*",currCode_Type!A:C,3,FALSE)</f>
        <v>CFA Franc BEAC</v>
      </c>
      <c r="E69" s="9" t="str">
        <f t="shared" si="2"/>
        <v>INSERT INTO oecd_currencies (iso_country, country_name, iso_curry, curry_name) VALUES ('GQ','EQUATORIAL GUINEA','XAF','CFA Franc BEAC');</v>
      </c>
      <c r="F69" s="11" t="str">
        <f t="shared" si="3"/>
        <v>INSERT INTO oecd_currencies (iso_country, country_name, iso_curry, curry_name) VALUES ('GQ','EQUATORIAL GUINEA','XAF','CFA Franc BEAC');</v>
      </c>
    </row>
    <row r="70" spans="1:6" x14ac:dyDescent="0.25">
      <c r="A70" s="3" t="s">
        <v>317</v>
      </c>
      <c r="B70" s="4" t="s">
        <v>318</v>
      </c>
      <c r="C70" t="str">
        <f>VLOOKUP("*"&amp;B70&amp;"*",currCode_Type!A:C,2,FALSE)</f>
        <v>ERN</v>
      </c>
      <c r="D70" t="str">
        <f>VLOOKUP("*"&amp;B70&amp;"*",currCode_Type!A:C,3,FALSE)</f>
        <v>Nakfa</v>
      </c>
      <c r="E70" s="9" t="str">
        <f t="shared" si="2"/>
        <v>INSERT INTO oecd_currencies (iso_country, country_name, iso_curry, curry_name) VALUES ('ER','ERITREA','ERN','Nakfa');</v>
      </c>
      <c r="F70" s="11" t="str">
        <f t="shared" si="3"/>
        <v>INSERT INTO oecd_currencies (iso_country, country_name, iso_curry, curry_name) VALUES ('ER','ERITREA','ERN','Nakfa');</v>
      </c>
    </row>
    <row r="71" spans="1:6" x14ac:dyDescent="0.25">
      <c r="A71" s="1" t="s">
        <v>319</v>
      </c>
      <c r="B71" s="2" t="s">
        <v>320</v>
      </c>
      <c r="C71" t="str">
        <f>VLOOKUP("*"&amp;B71&amp;"*",currCode_Type!A:C,2,FALSE)</f>
        <v>EUR</v>
      </c>
      <c r="D71" t="str">
        <f>VLOOKUP("*"&amp;B71&amp;"*",currCode_Type!A:C,3,FALSE)</f>
        <v>Euro</v>
      </c>
      <c r="E71" s="9" t="str">
        <f t="shared" si="2"/>
        <v>INSERT INTO oecd_currencies (iso_country, country_name, iso_curry, curry_name) VALUES ('EE','ESTONIA','EUR','Euro');</v>
      </c>
      <c r="F71" s="11" t="str">
        <f t="shared" si="3"/>
        <v>INSERT INTO oecd_currencies (iso_country, country_name, iso_curry, curry_name) VALUES ('EE','ESTONIA','EUR','Euro');</v>
      </c>
    </row>
    <row r="72" spans="1:6" x14ac:dyDescent="0.25">
      <c r="A72" s="3" t="s">
        <v>321</v>
      </c>
      <c r="B72" s="4" t="s">
        <v>322</v>
      </c>
      <c r="C72" t="str">
        <f>VLOOKUP("*"&amp;B72&amp;"*",currCode_Type!A:C,2,FALSE)</f>
        <v>ETB</v>
      </c>
      <c r="D72" t="str">
        <f>VLOOKUP("*"&amp;B72&amp;"*",currCode_Type!A:C,3,FALSE)</f>
        <v>Ethiopian Birr</v>
      </c>
      <c r="E72" s="9" t="str">
        <f t="shared" si="2"/>
        <v>INSERT INTO oecd_currencies (iso_country, country_name, iso_curry, curry_name) VALUES ('ET','ETHIOPIA','ETB','Ethiopian Birr');</v>
      </c>
      <c r="F72" s="11" t="str">
        <f t="shared" si="3"/>
        <v>INSERT INTO oecd_currencies (iso_country, country_name, iso_curry, curry_name) VALUES ('ET','ETHIOPIA','ETB','Ethiopian Birr');</v>
      </c>
    </row>
    <row r="73" spans="1:6" x14ac:dyDescent="0.25">
      <c r="A73" s="1" t="s">
        <v>323</v>
      </c>
      <c r="B73" s="2" t="s">
        <v>324</v>
      </c>
      <c r="C73" t="str">
        <f>VLOOKUP("*"&amp;B73&amp;"*",currCode_Type!A:C,2,FALSE)</f>
        <v>FKP</v>
      </c>
      <c r="D73" t="str">
        <f>VLOOKUP("*"&amp;B73&amp;"*",currCode_Type!A:C,3,FALSE)</f>
        <v>Falkland Islands Pound</v>
      </c>
      <c r="E73" s="9" t="str">
        <f t="shared" si="2"/>
        <v>INSERT INTO oecd_currencies (iso_country, country_name, iso_curry, curry_name) VALUES ('FK','FALKLAND ISLANDS (MALVINAS)','FKP','Falkland Islands Pound');</v>
      </c>
      <c r="F73" s="11" t="str">
        <f t="shared" si="3"/>
        <v>INSERT INTO oecd_currencies (iso_country, country_name, iso_curry, curry_name) VALUES ('FK','FALKLAND ISLANDS (MALVINAS)','FKP','Falkland Islands Pound');</v>
      </c>
    </row>
    <row r="74" spans="1:6" x14ac:dyDescent="0.25">
      <c r="A74" s="3" t="s">
        <v>325</v>
      </c>
      <c r="B74" s="4" t="s">
        <v>326</v>
      </c>
      <c r="C74" t="str">
        <f>VLOOKUP("*"&amp;B74&amp;"*",currCode_Type!A:C,2,FALSE)</f>
        <v>DKK</v>
      </c>
      <c r="D74" t="str">
        <f>VLOOKUP("*"&amp;B74&amp;"*",currCode_Type!A:C,3,FALSE)</f>
        <v>Danish Krone</v>
      </c>
      <c r="E74" s="9" t="str">
        <f t="shared" si="2"/>
        <v>INSERT INTO oecd_currencies (iso_country, country_name, iso_curry, curry_name) VALUES ('FO','FAROE ISLANDS','DKK','Danish Krone');</v>
      </c>
      <c r="F74" s="11" t="str">
        <f t="shared" si="3"/>
        <v>INSERT INTO oecd_currencies (iso_country, country_name, iso_curry, curry_name) VALUES ('FO','FAROE ISLANDS','DKK','Danish Krone');</v>
      </c>
    </row>
    <row r="75" spans="1:6" x14ac:dyDescent="0.25">
      <c r="A75" s="1" t="s">
        <v>327</v>
      </c>
      <c r="B75" s="2" t="s">
        <v>328</v>
      </c>
      <c r="C75" t="str">
        <f>VLOOKUP("*"&amp;B75&amp;"*",currCode_Type!A:C,2,FALSE)</f>
        <v>FJD</v>
      </c>
      <c r="D75" t="str">
        <f>VLOOKUP("*"&amp;B75&amp;"*",currCode_Type!A:C,3,FALSE)</f>
        <v>Fiji Dollar</v>
      </c>
      <c r="E75" s="9" t="str">
        <f t="shared" si="2"/>
        <v>INSERT INTO oecd_currencies (iso_country, country_name, iso_curry, curry_name) VALUES ('FJ','FIJI','FJD','Fiji Dollar');</v>
      </c>
      <c r="F75" s="11" t="str">
        <f t="shared" si="3"/>
        <v>INSERT INTO oecd_currencies (iso_country, country_name, iso_curry, curry_name) VALUES ('FJ','FIJI','FJD','Fiji Dollar');</v>
      </c>
    </row>
    <row r="76" spans="1:6" x14ac:dyDescent="0.25">
      <c r="A76" s="3" t="s">
        <v>329</v>
      </c>
      <c r="B76" s="4" t="s">
        <v>330</v>
      </c>
      <c r="C76" t="str">
        <f>VLOOKUP("*"&amp;B76&amp;"*",currCode_Type!A:C,2,FALSE)</f>
        <v>EUR</v>
      </c>
      <c r="D76" t="str">
        <f>VLOOKUP("*"&amp;B76&amp;"*",currCode_Type!A:C,3,FALSE)</f>
        <v>Euro</v>
      </c>
      <c r="E76" s="9" t="str">
        <f t="shared" si="2"/>
        <v>INSERT INTO oecd_currencies (iso_country, country_name, iso_curry, curry_name) VALUES ('FI','FINLAND','EUR','Euro');</v>
      </c>
      <c r="F76" s="11" t="str">
        <f t="shared" si="3"/>
        <v>INSERT INTO oecd_currencies (iso_country, country_name, iso_curry, curry_name) VALUES ('FI','FINLAND','EUR','Euro');</v>
      </c>
    </row>
    <row r="77" spans="1:6" x14ac:dyDescent="0.25">
      <c r="A77" s="1" t="s">
        <v>331</v>
      </c>
      <c r="B77" s="2" t="s">
        <v>332</v>
      </c>
      <c r="C77" t="str">
        <f>VLOOKUP("*"&amp;B77&amp;"*",currCode_Type!A:C,2,FALSE)</f>
        <v>EUR</v>
      </c>
      <c r="D77" t="str">
        <f>VLOOKUP("*"&amp;B77&amp;"*",currCode_Type!A:C,3,FALSE)</f>
        <v>Euro</v>
      </c>
      <c r="E77" s="9" t="str">
        <f t="shared" si="2"/>
        <v>INSERT INTO oecd_currencies (iso_country, country_name, iso_curry, curry_name) VALUES ('FR','FRANCE','EUR','Euro');</v>
      </c>
      <c r="F77" s="11" t="str">
        <f t="shared" si="3"/>
        <v>INSERT INTO oecd_currencies (iso_country, country_name, iso_curry, curry_name) VALUES ('FR','FRANCE','EUR','Euro');</v>
      </c>
    </row>
    <row r="78" spans="1:6" x14ac:dyDescent="0.25">
      <c r="A78" s="3" t="s">
        <v>333</v>
      </c>
      <c r="B78" s="4" t="s">
        <v>334</v>
      </c>
      <c r="C78" t="str">
        <f>VLOOKUP("*"&amp;B78&amp;"*",currCode_Type!A:C,2,FALSE)</f>
        <v>EUR</v>
      </c>
      <c r="D78" t="str">
        <f>VLOOKUP("*"&amp;B78&amp;"*",currCode_Type!A:C,3,FALSE)</f>
        <v>Euro</v>
      </c>
      <c r="E78" s="9" t="str">
        <f t="shared" si="2"/>
        <v>INSERT INTO oecd_currencies (iso_country, country_name, iso_curry, curry_name) VALUES ('GF','FRENCH GUIANA','EUR','Euro');</v>
      </c>
      <c r="F78" s="11" t="str">
        <f t="shared" si="3"/>
        <v>INSERT INTO oecd_currencies (iso_country, country_name, iso_curry, curry_name) VALUES ('GF','FRENCH GUIANA','EUR','Euro');</v>
      </c>
    </row>
    <row r="79" spans="1:6" x14ac:dyDescent="0.25">
      <c r="A79" s="1" t="s">
        <v>335</v>
      </c>
      <c r="B79" s="2" t="s">
        <v>336</v>
      </c>
      <c r="C79" t="str">
        <f>VLOOKUP("*"&amp;B79&amp;"*",currCode_Type!A:C,2,FALSE)</f>
        <v>XPF</v>
      </c>
      <c r="D79" t="str">
        <f>VLOOKUP("*"&amp;B79&amp;"*",currCode_Type!A:C,3,FALSE)</f>
        <v>CFP Franc</v>
      </c>
      <c r="E79" s="9" t="str">
        <f t="shared" si="2"/>
        <v>INSERT INTO oecd_currencies (iso_country, country_name, iso_curry, curry_name) VALUES ('PF','FRENCH POLYNESIA','XPF','CFP Franc');</v>
      </c>
      <c r="F79" s="11" t="str">
        <f t="shared" si="3"/>
        <v>INSERT INTO oecd_currencies (iso_country, country_name, iso_curry, curry_name) VALUES ('PF','FRENCH POLYNESIA','XPF','CFP Franc');</v>
      </c>
    </row>
    <row r="80" spans="1:6" x14ac:dyDescent="0.25">
      <c r="A80" s="3" t="s">
        <v>337</v>
      </c>
      <c r="B80" s="4" t="s">
        <v>338</v>
      </c>
      <c r="C80" t="str">
        <f>VLOOKUP("*"&amp;B80&amp;"*",currCode_Type!A:C,2,FALSE)</f>
        <v>EUR</v>
      </c>
      <c r="D80" t="str">
        <f>VLOOKUP("*"&amp;B80&amp;"*",currCode_Type!A:C,3,FALSE)</f>
        <v>Euro</v>
      </c>
      <c r="E80" s="9" t="str">
        <f t="shared" si="2"/>
        <v>INSERT INTO oecd_currencies (iso_country, country_name, iso_curry, curry_name) VALUES ('TF','FRENCH SOUTHERN TERRITORIES','EUR','Euro');</v>
      </c>
      <c r="F80" s="11" t="str">
        <f t="shared" si="3"/>
        <v>INSERT INTO oecd_currencies (iso_country, country_name, iso_curry, curry_name) VALUES ('TF','FRENCH SOUTHERN TERRITORIES','EUR','Euro');</v>
      </c>
    </row>
    <row r="81" spans="1:6" x14ac:dyDescent="0.25">
      <c r="A81" s="1" t="s">
        <v>339</v>
      </c>
      <c r="B81" s="2" t="s">
        <v>340</v>
      </c>
      <c r="C81" t="str">
        <f>VLOOKUP("*"&amp;B81&amp;"*",currCode_Type!A:C,2,FALSE)</f>
        <v>XAF</v>
      </c>
      <c r="D81" t="str">
        <f>VLOOKUP("*"&amp;B81&amp;"*",currCode_Type!A:C,3,FALSE)</f>
        <v>CFA Franc BEAC</v>
      </c>
      <c r="E81" s="9" t="str">
        <f t="shared" si="2"/>
        <v>INSERT INTO oecd_currencies (iso_country, country_name, iso_curry, curry_name) VALUES ('GA','GABON','XAF','CFA Franc BEAC');</v>
      </c>
      <c r="F81" s="11" t="str">
        <f t="shared" si="3"/>
        <v>INSERT INTO oecd_currencies (iso_country, country_name, iso_curry, curry_name) VALUES ('GA','GABON','XAF','CFA Franc BEAC');</v>
      </c>
    </row>
    <row r="82" spans="1:6" x14ac:dyDescent="0.25">
      <c r="A82" s="3" t="s">
        <v>341</v>
      </c>
      <c r="B82" s="4" t="s">
        <v>342</v>
      </c>
      <c r="C82" t="str">
        <f>VLOOKUP("*"&amp;B82&amp;"*",currCode_Type!A:C,2,FALSE)</f>
        <v>GMD</v>
      </c>
      <c r="D82" t="str">
        <f>VLOOKUP("*"&amp;B82&amp;"*",currCode_Type!A:C,3,FALSE)</f>
        <v>Dalasi</v>
      </c>
      <c r="E82" s="9" t="str">
        <f t="shared" si="2"/>
        <v>INSERT INTO oecd_currencies (iso_country, country_name, iso_curry, curry_name) VALUES ('GM','GAMBIA','GMD','Dalasi');</v>
      </c>
      <c r="F82" s="11" t="str">
        <f t="shared" si="3"/>
        <v>INSERT INTO oecd_currencies (iso_country, country_name, iso_curry, curry_name) VALUES ('GM','GAMBIA','GMD','Dalasi');</v>
      </c>
    </row>
    <row r="83" spans="1:6" x14ac:dyDescent="0.25">
      <c r="A83" s="1" t="s">
        <v>343</v>
      </c>
      <c r="B83" s="2" t="s">
        <v>344</v>
      </c>
      <c r="C83" t="str">
        <f>VLOOKUP("*"&amp;B83&amp;"*",currCode_Type!A:C,2,FALSE)</f>
        <v>GEL</v>
      </c>
      <c r="D83" t="str">
        <f>VLOOKUP("*"&amp;B83&amp;"*",currCode_Type!A:C,3,FALSE)</f>
        <v>Lari</v>
      </c>
      <c r="E83" s="9" t="str">
        <f t="shared" si="2"/>
        <v>INSERT INTO oecd_currencies (iso_country, country_name, iso_curry, curry_name) VALUES ('GE','GEORGIA','GEL','Lari');</v>
      </c>
      <c r="F83" s="11" t="str">
        <f t="shared" si="3"/>
        <v>INSERT INTO oecd_currencies (iso_country, country_name, iso_curry, curry_name) VALUES ('GE','GEORGIA','GEL','Lari');</v>
      </c>
    </row>
    <row r="84" spans="1:6" x14ac:dyDescent="0.25">
      <c r="A84" s="3" t="s">
        <v>345</v>
      </c>
      <c r="B84" s="4" t="s">
        <v>346</v>
      </c>
      <c r="C84" t="str">
        <f>VLOOKUP("*"&amp;B84&amp;"*",currCode_Type!A:C,2,FALSE)</f>
        <v>EUR</v>
      </c>
      <c r="D84" t="str">
        <f>VLOOKUP("*"&amp;B84&amp;"*",currCode_Type!A:C,3,FALSE)</f>
        <v>Euro</v>
      </c>
      <c r="E84" s="9" t="str">
        <f t="shared" si="2"/>
        <v>INSERT INTO oecd_currencies (iso_country, country_name, iso_curry, curry_name) VALUES ('DE','GERMANY','EUR','Euro');</v>
      </c>
      <c r="F84" s="11" t="str">
        <f t="shared" si="3"/>
        <v>INSERT INTO oecd_currencies (iso_country, country_name, iso_curry, curry_name) VALUES ('DE','GERMANY','EUR','Euro');</v>
      </c>
    </row>
    <row r="85" spans="1:6" x14ac:dyDescent="0.25">
      <c r="A85" s="1" t="s">
        <v>347</v>
      </c>
      <c r="B85" s="2" t="s">
        <v>348</v>
      </c>
      <c r="C85" t="str">
        <f>VLOOKUP("*"&amp;B85&amp;"*",currCode_Type!A:C,2,FALSE)</f>
        <v>GHS</v>
      </c>
      <c r="D85" t="str">
        <f>VLOOKUP("*"&amp;B85&amp;"*",currCode_Type!A:C,3,FALSE)</f>
        <v>Ghana Cedi</v>
      </c>
      <c r="E85" s="9" t="str">
        <f t="shared" si="2"/>
        <v>INSERT INTO oecd_currencies (iso_country, country_name, iso_curry, curry_name) VALUES ('GH','GHANA','GHS','Ghana Cedi');</v>
      </c>
      <c r="F85" s="11" t="str">
        <f t="shared" si="3"/>
        <v>INSERT INTO oecd_currencies (iso_country, country_name, iso_curry, curry_name) VALUES ('GH','GHANA','GHS','Ghana Cedi');</v>
      </c>
    </row>
    <row r="86" spans="1:6" x14ac:dyDescent="0.25">
      <c r="A86" s="3" t="s">
        <v>349</v>
      </c>
      <c r="B86" s="4" t="s">
        <v>350</v>
      </c>
      <c r="C86" t="str">
        <f>VLOOKUP("*"&amp;B86&amp;"*",currCode_Type!A:C,2,FALSE)</f>
        <v>GIP</v>
      </c>
      <c r="D86" t="str">
        <f>VLOOKUP("*"&amp;B86&amp;"*",currCode_Type!A:C,3,FALSE)</f>
        <v>Gibraltar Pound</v>
      </c>
      <c r="E86" s="9" t="str">
        <f t="shared" si="2"/>
        <v>INSERT INTO oecd_currencies (iso_country, country_name, iso_curry, curry_name) VALUES ('GI','GIBRALTAR','GIP','Gibraltar Pound');</v>
      </c>
      <c r="F86" s="11" t="str">
        <f t="shared" si="3"/>
        <v>INSERT INTO oecd_currencies (iso_country, country_name, iso_curry, curry_name) VALUES ('GI','GIBRALTAR','GIP','Gibraltar Pound');</v>
      </c>
    </row>
    <row r="87" spans="1:6" x14ac:dyDescent="0.25">
      <c r="A87" s="1" t="s">
        <v>351</v>
      </c>
      <c r="B87" s="2" t="s">
        <v>352</v>
      </c>
      <c r="C87" t="str">
        <f>VLOOKUP("*"&amp;B87&amp;"*",currCode_Type!A:C,2,FALSE)</f>
        <v>EUR</v>
      </c>
      <c r="D87" t="str">
        <f>VLOOKUP("*"&amp;B87&amp;"*",currCode_Type!A:C,3,FALSE)</f>
        <v>Euro</v>
      </c>
      <c r="E87" s="9" t="str">
        <f t="shared" si="2"/>
        <v>INSERT INTO oecd_currencies (iso_country, country_name, iso_curry, curry_name) VALUES ('GR','GREECE','EUR','Euro');</v>
      </c>
      <c r="F87" s="11" t="str">
        <f t="shared" si="3"/>
        <v>INSERT INTO oecd_currencies (iso_country, country_name, iso_curry, curry_name) VALUES ('GR','GREECE','EUR','Euro');</v>
      </c>
    </row>
    <row r="88" spans="1:6" x14ac:dyDescent="0.25">
      <c r="A88" s="3" t="s">
        <v>353</v>
      </c>
      <c r="B88" s="4" t="s">
        <v>354</v>
      </c>
      <c r="C88" t="str">
        <f>VLOOKUP("*"&amp;B88&amp;"*",currCode_Type!A:C,2,FALSE)</f>
        <v>DKK</v>
      </c>
      <c r="D88" t="str">
        <f>VLOOKUP("*"&amp;B88&amp;"*",currCode_Type!A:C,3,FALSE)</f>
        <v>Danish Krone</v>
      </c>
      <c r="E88" s="9" t="str">
        <f t="shared" si="2"/>
        <v>INSERT INTO oecd_currencies (iso_country, country_name, iso_curry, curry_name) VALUES ('GL','GREENLAND','DKK','Danish Krone');</v>
      </c>
      <c r="F88" s="11" t="str">
        <f t="shared" si="3"/>
        <v>INSERT INTO oecd_currencies (iso_country, country_name, iso_curry, curry_name) VALUES ('GL','GREENLAND','DKK','Danish Krone');</v>
      </c>
    </row>
    <row r="89" spans="1:6" x14ac:dyDescent="0.25">
      <c r="A89" s="1" t="s">
        <v>355</v>
      </c>
      <c r="B89" s="2" t="s">
        <v>356</v>
      </c>
      <c r="C89" t="str">
        <f>VLOOKUP("*"&amp;B89&amp;"*",currCode_Type!A:C,2,FALSE)</f>
        <v>XCD</v>
      </c>
      <c r="D89" t="str">
        <f>VLOOKUP("*"&amp;B89&amp;"*",currCode_Type!A:C,3,FALSE)</f>
        <v>East Caribbean Dollar</v>
      </c>
      <c r="E89" s="9" t="str">
        <f t="shared" si="2"/>
        <v>INSERT INTO oecd_currencies (iso_country, country_name, iso_curry, curry_name) VALUES ('GD','GRENADA','XCD','East Caribbean Dollar');</v>
      </c>
      <c r="F89" s="11" t="str">
        <f t="shared" si="3"/>
        <v>INSERT INTO oecd_currencies (iso_country, country_name, iso_curry, curry_name) VALUES ('GD','GRENADA','XCD','East Caribbean Dollar');</v>
      </c>
    </row>
    <row r="90" spans="1:6" x14ac:dyDescent="0.25">
      <c r="A90" s="3" t="s">
        <v>357</v>
      </c>
      <c r="B90" s="4" t="s">
        <v>358</v>
      </c>
      <c r="C90" t="str">
        <f>VLOOKUP("*"&amp;B90&amp;"*",currCode_Type!A:C,2,FALSE)</f>
        <v>EUR</v>
      </c>
      <c r="D90" t="str">
        <f>VLOOKUP("*"&amp;B90&amp;"*",currCode_Type!A:C,3,FALSE)</f>
        <v>Euro</v>
      </c>
      <c r="E90" s="9" t="str">
        <f t="shared" si="2"/>
        <v>INSERT INTO oecd_currencies (iso_country, country_name, iso_curry, curry_name) VALUES ('GP','GUADELOUPE','EUR','Euro');</v>
      </c>
      <c r="F90" s="11" t="str">
        <f t="shared" si="3"/>
        <v>INSERT INTO oecd_currencies (iso_country, country_name, iso_curry, curry_name) VALUES ('GP','GUADELOUPE','EUR','Euro');</v>
      </c>
    </row>
    <row r="91" spans="1:6" x14ac:dyDescent="0.25">
      <c r="A91" s="1" t="s">
        <v>359</v>
      </c>
      <c r="B91" s="2" t="s">
        <v>360</v>
      </c>
      <c r="C91" t="str">
        <f>VLOOKUP("*"&amp;B91&amp;"*",currCode_Type!A:C,2,FALSE)</f>
        <v>USD</v>
      </c>
      <c r="D91" t="str">
        <f>VLOOKUP("*"&amp;B91&amp;"*",currCode_Type!A:C,3,FALSE)</f>
        <v>US Dollar</v>
      </c>
      <c r="E91" s="9" t="str">
        <f t="shared" si="2"/>
        <v>INSERT INTO oecd_currencies (iso_country, country_name, iso_curry, curry_name) VALUES ('GU','GUAM','USD','US Dollar');</v>
      </c>
      <c r="F91" s="11" t="str">
        <f t="shared" si="3"/>
        <v>INSERT INTO oecd_currencies (iso_country, country_name, iso_curry, curry_name) VALUES ('GU','GUAM','USD','US Dollar');</v>
      </c>
    </row>
    <row r="92" spans="1:6" x14ac:dyDescent="0.25">
      <c r="A92" s="3" t="s">
        <v>361</v>
      </c>
      <c r="B92" s="4" t="s">
        <v>362</v>
      </c>
      <c r="C92" t="str">
        <f>VLOOKUP("*"&amp;B92&amp;"*",currCode_Type!A:C,2,FALSE)</f>
        <v>GTQ</v>
      </c>
      <c r="D92" t="str">
        <f>VLOOKUP("*"&amp;B92&amp;"*",currCode_Type!A:C,3,FALSE)</f>
        <v>Quetzal</v>
      </c>
      <c r="E92" s="9" t="str">
        <f t="shared" si="2"/>
        <v>INSERT INTO oecd_currencies (iso_country, country_name, iso_curry, curry_name) VALUES ('GT','GUATEMALA','GTQ','Quetzal');</v>
      </c>
      <c r="F92" s="11" t="str">
        <f t="shared" si="3"/>
        <v>INSERT INTO oecd_currencies (iso_country, country_name, iso_curry, curry_name) VALUES ('GT','GUATEMALA','GTQ','Quetzal');</v>
      </c>
    </row>
    <row r="93" spans="1:6" x14ac:dyDescent="0.25">
      <c r="A93" s="1" t="s">
        <v>363</v>
      </c>
      <c r="B93" s="2" t="s">
        <v>364</v>
      </c>
      <c r="C93" t="str">
        <f>VLOOKUP("*"&amp;B93&amp;"*",currCode_Type!A:C,2,FALSE)</f>
        <v>GBP</v>
      </c>
      <c r="D93" t="str">
        <f>VLOOKUP("*"&amp;B93&amp;"*",currCode_Type!A:C,3,FALSE)</f>
        <v>Pound Sterling</v>
      </c>
      <c r="E93" s="9" t="str">
        <f t="shared" si="2"/>
        <v>INSERT INTO oecd_currencies (iso_country, country_name, iso_curry, curry_name) VALUES ('GG','GUERNSEY','GBP','Pound Sterling');</v>
      </c>
      <c r="F93" s="11" t="str">
        <f t="shared" si="3"/>
        <v>INSERT INTO oecd_currencies (iso_country, country_name, iso_curry, curry_name) VALUES ('GG','GUERNSEY','GBP','Pound Sterling');</v>
      </c>
    </row>
    <row r="94" spans="1:6" x14ac:dyDescent="0.25">
      <c r="A94" s="3" t="s">
        <v>365</v>
      </c>
      <c r="B94" s="4" t="s">
        <v>366</v>
      </c>
      <c r="C94" t="str">
        <f>VLOOKUP("*"&amp;B94&amp;"*",currCode_Type!A:C,2,FALSE)</f>
        <v>GNF</v>
      </c>
      <c r="D94" t="str">
        <f>VLOOKUP("*"&amp;B94&amp;"*",currCode_Type!A:C,3,FALSE)</f>
        <v>Guinea Franc</v>
      </c>
      <c r="E94" s="9" t="str">
        <f t="shared" si="2"/>
        <v>INSERT INTO oecd_currencies (iso_country, country_name, iso_curry, curry_name) VALUES ('GN','GUINEA','GNF','Guinea Franc');</v>
      </c>
      <c r="F94" s="11" t="str">
        <f t="shared" si="3"/>
        <v>INSERT INTO oecd_currencies (iso_country, country_name, iso_curry, curry_name) VALUES ('GN','GUINEA','GNF','Guinea Franc');</v>
      </c>
    </row>
    <row r="95" spans="1:6" x14ac:dyDescent="0.25">
      <c r="A95" s="1" t="s">
        <v>367</v>
      </c>
      <c r="B95" s="2" t="s">
        <v>368</v>
      </c>
      <c r="C95" t="str">
        <f>VLOOKUP("*"&amp;B95&amp;"*",currCode_Type!A:C,2,FALSE)</f>
        <v>XOF</v>
      </c>
      <c r="D95" t="str">
        <f>VLOOKUP("*"&amp;B95&amp;"*",currCode_Type!A:C,3,FALSE)</f>
        <v>CFA Franc BCEAO</v>
      </c>
      <c r="E95" s="9" t="str">
        <f t="shared" si="2"/>
        <v>INSERT INTO oecd_currencies (iso_country, country_name, iso_curry, curry_name) VALUES ('GW','GUINEA-BISSAU','XOF','CFA Franc BCEAO');</v>
      </c>
      <c r="F95" s="11" t="str">
        <f t="shared" si="3"/>
        <v>INSERT INTO oecd_currencies (iso_country, country_name, iso_curry, curry_name) VALUES ('GW','GUINEA-BISSAU','XOF','CFA Franc BCEAO');</v>
      </c>
    </row>
    <row r="96" spans="1:6" x14ac:dyDescent="0.25">
      <c r="A96" s="3" t="s">
        <v>369</v>
      </c>
      <c r="B96" s="4" t="s">
        <v>370</v>
      </c>
      <c r="C96" t="str">
        <f>VLOOKUP("*"&amp;B96&amp;"*",currCode_Type!A:C,2,FALSE)</f>
        <v>GYD</v>
      </c>
      <c r="D96" t="str">
        <f>VLOOKUP("*"&amp;B96&amp;"*",currCode_Type!A:C,3,FALSE)</f>
        <v>Guyana Dollar</v>
      </c>
      <c r="E96" s="9" t="str">
        <f t="shared" si="2"/>
        <v>INSERT INTO oecd_currencies (iso_country, country_name, iso_curry, curry_name) VALUES ('GY','GUYANA','GYD','Guyana Dollar');</v>
      </c>
      <c r="F96" s="11" t="str">
        <f t="shared" si="3"/>
        <v>INSERT INTO oecd_currencies (iso_country, country_name, iso_curry, curry_name) VALUES ('GY','GUYANA','GYD','Guyana Dollar');</v>
      </c>
    </row>
    <row r="97" spans="1:6" x14ac:dyDescent="0.25">
      <c r="A97" s="1" t="s">
        <v>371</v>
      </c>
      <c r="B97" s="2" t="s">
        <v>372</v>
      </c>
      <c r="C97" t="str">
        <f>VLOOKUP("*"&amp;B97&amp;"*",currCode_Type!A:C,2,FALSE)</f>
        <v>HTG</v>
      </c>
      <c r="D97" t="str">
        <f>VLOOKUP("*"&amp;B97&amp;"*",currCode_Type!A:C,3,FALSE)</f>
        <v>Gourde</v>
      </c>
      <c r="E97" s="9" t="str">
        <f t="shared" si="2"/>
        <v>INSERT INTO oecd_currencies (iso_country, country_name, iso_curry, curry_name) VALUES ('HT','HAITI','HTG','Gourde');</v>
      </c>
      <c r="F97" s="11" t="str">
        <f t="shared" si="3"/>
        <v>INSERT INTO oecd_currencies (iso_country, country_name, iso_curry, curry_name) VALUES ('HT','HAITI','HTG','Gourde');</v>
      </c>
    </row>
    <row r="98" spans="1:6" x14ac:dyDescent="0.25">
      <c r="A98" s="3" t="s">
        <v>373</v>
      </c>
      <c r="B98" s="4" t="s">
        <v>374</v>
      </c>
      <c r="C98" t="str">
        <f>VLOOKUP("*"&amp;B98&amp;"*",currCode_Type!A:C,2,FALSE)</f>
        <v>AUD</v>
      </c>
      <c r="D98" t="str">
        <f>VLOOKUP("*"&amp;B98&amp;"*",currCode_Type!A:C,3,FALSE)</f>
        <v>Australian Dollar</v>
      </c>
      <c r="E98" s="9" t="str">
        <f t="shared" si="2"/>
        <v>INSERT INTO oecd_currencies (iso_country, country_name, iso_curry, curry_name) VALUES ('HM','HEARD ISLAND AND MCDONALD ISLANDS','AUD','Australian Dollar');</v>
      </c>
      <c r="F98" s="11" t="str">
        <f t="shared" si="3"/>
        <v>INSERT INTO oecd_currencies (iso_country, country_name, iso_curry, curry_name) VALUES ('HM','HEARD ISLAND AND MCDONALD ISLANDS','AUD','Australian Dollar');</v>
      </c>
    </row>
    <row r="99" spans="1:6" x14ac:dyDescent="0.25">
      <c r="A99" s="1" t="s">
        <v>375</v>
      </c>
      <c r="B99" s="2" t="s">
        <v>376</v>
      </c>
      <c r="C99" t="str">
        <f>VLOOKUP("*"&amp;B99&amp;"*",currCode_Type!A:C,2,FALSE)</f>
        <v>EUR</v>
      </c>
      <c r="D99" t="str">
        <f>VLOOKUP("*"&amp;B99&amp;"*",currCode_Type!A:C,3,FALSE)</f>
        <v>Euro</v>
      </c>
      <c r="E99" s="9" t="str">
        <f t="shared" si="2"/>
        <v>INSERT INTO oecd_currencies (iso_country, country_name, iso_curry, curry_name) VALUES ('VA','HOLY SEE (VATICAN CITY STATE)','EUR','Euro');</v>
      </c>
      <c r="F99" s="11" t="str">
        <f t="shared" si="3"/>
        <v>INSERT INTO oecd_currencies (iso_country, country_name, iso_curry, curry_name) VALUES ('VA','HOLY SEE (VATICAN CITY STATE)','EUR','Euro');</v>
      </c>
    </row>
    <row r="100" spans="1:6" x14ac:dyDescent="0.25">
      <c r="A100" s="3" t="s">
        <v>377</v>
      </c>
      <c r="B100" s="4" t="s">
        <v>378</v>
      </c>
      <c r="C100" t="str">
        <f>VLOOKUP("*"&amp;B100&amp;"*",currCode_Type!A:C,2,FALSE)</f>
        <v>HNL</v>
      </c>
      <c r="D100" t="str">
        <f>VLOOKUP("*"&amp;B100&amp;"*",currCode_Type!A:C,3,FALSE)</f>
        <v>Lempira</v>
      </c>
      <c r="E100" s="9" t="str">
        <f t="shared" si="2"/>
        <v>INSERT INTO oecd_currencies (iso_country, country_name, iso_curry, curry_name) VALUES ('HN','HONDURAS','HNL','Lempira');</v>
      </c>
      <c r="F100" s="11" t="str">
        <f t="shared" si="3"/>
        <v>INSERT INTO oecd_currencies (iso_country, country_name, iso_curry, curry_name) VALUES ('HN','HONDURAS','HNL','Lempira');</v>
      </c>
    </row>
    <row r="101" spans="1:6" x14ac:dyDescent="0.25">
      <c r="A101" s="1" t="s">
        <v>379</v>
      </c>
      <c r="B101" s="2" t="s">
        <v>380</v>
      </c>
      <c r="C101" t="str">
        <f>VLOOKUP("*"&amp;B101&amp;"*",currCode_Type!A:C,2,FALSE)</f>
        <v>HKD</v>
      </c>
      <c r="D101" t="str">
        <f>VLOOKUP("*"&amp;B101&amp;"*",currCode_Type!A:C,3,FALSE)</f>
        <v>Hong Kong Dollar</v>
      </c>
      <c r="E101" s="9" t="str">
        <f t="shared" si="2"/>
        <v>INSERT INTO oecd_currencies (iso_country, country_name, iso_curry, curry_name) VALUES ('HK','HONG KONG','HKD','Hong Kong Dollar');</v>
      </c>
      <c r="F101" s="11" t="str">
        <f t="shared" si="3"/>
        <v>INSERT INTO oecd_currencies (iso_country, country_name, iso_curry, curry_name) VALUES ('HK','HONG KONG','HKD','Hong Kong Dollar');</v>
      </c>
    </row>
    <row r="102" spans="1:6" x14ac:dyDescent="0.25">
      <c r="A102" s="3" t="s">
        <v>381</v>
      </c>
      <c r="B102" s="4" t="s">
        <v>382</v>
      </c>
      <c r="C102" t="str">
        <f>VLOOKUP("*"&amp;B102&amp;"*",currCode_Type!A:C,2,FALSE)</f>
        <v>HUF</v>
      </c>
      <c r="D102" t="str">
        <f>VLOOKUP("*"&amp;B102&amp;"*",currCode_Type!A:C,3,FALSE)</f>
        <v>Forint</v>
      </c>
      <c r="E102" s="9" t="str">
        <f t="shared" si="2"/>
        <v>INSERT INTO oecd_currencies (iso_country, country_name, iso_curry, curry_name) VALUES ('HU','HUNGARY','HUF','Forint');</v>
      </c>
      <c r="F102" s="11" t="str">
        <f t="shared" si="3"/>
        <v>INSERT INTO oecd_currencies (iso_country, country_name, iso_curry, curry_name) VALUES ('HU','HUNGARY','HUF','Forint');</v>
      </c>
    </row>
    <row r="103" spans="1:6" x14ac:dyDescent="0.25">
      <c r="A103" s="1" t="s">
        <v>383</v>
      </c>
      <c r="B103" s="2" t="s">
        <v>384</v>
      </c>
      <c r="C103" t="str">
        <f>VLOOKUP("*"&amp;B103&amp;"*",currCode_Type!A:C,2,FALSE)</f>
        <v>ISK</v>
      </c>
      <c r="D103" t="str">
        <f>VLOOKUP("*"&amp;B103&amp;"*",currCode_Type!A:C,3,FALSE)</f>
        <v>Iceland Krona</v>
      </c>
      <c r="E103" s="9" t="str">
        <f t="shared" si="2"/>
        <v>INSERT INTO oecd_currencies (iso_country, country_name, iso_curry, curry_name) VALUES ('IS','ICELAND','ISK','Iceland Krona');</v>
      </c>
      <c r="F103" s="11" t="str">
        <f t="shared" si="3"/>
        <v>INSERT INTO oecd_currencies (iso_country, country_name, iso_curry, curry_name) VALUES ('IS','ICELAND','ISK','Iceland Krona');</v>
      </c>
    </row>
    <row r="104" spans="1:6" x14ac:dyDescent="0.25">
      <c r="A104" s="3" t="s">
        <v>385</v>
      </c>
      <c r="B104" s="4" t="s">
        <v>386</v>
      </c>
      <c r="C104" t="str">
        <f>VLOOKUP("*"&amp;B104&amp;"*",currCode_Type!A:C,2,FALSE)</f>
        <v>INR</v>
      </c>
      <c r="D104" t="str">
        <f>VLOOKUP("*"&amp;B104&amp;"*",currCode_Type!A:C,3,FALSE)</f>
        <v>Indian Rupee</v>
      </c>
      <c r="E104" s="9" t="str">
        <f t="shared" si="2"/>
        <v>INSERT INTO oecd_currencies (iso_country, country_name, iso_curry, curry_name) VALUES ('IN','INDIA','INR','Indian Rupee');</v>
      </c>
      <c r="F104" s="11" t="str">
        <f t="shared" si="3"/>
        <v>INSERT INTO oecd_currencies (iso_country, country_name, iso_curry, curry_name) VALUES ('IN','INDIA','INR','Indian Rupee');</v>
      </c>
    </row>
    <row r="105" spans="1:6" x14ac:dyDescent="0.25">
      <c r="A105" s="1" t="s">
        <v>387</v>
      </c>
      <c r="B105" s="2" t="s">
        <v>388</v>
      </c>
      <c r="C105" t="str">
        <f>VLOOKUP("*"&amp;B105&amp;"*",currCode_Type!A:C,2,FALSE)</f>
        <v>IDR</v>
      </c>
      <c r="D105" t="str">
        <f>VLOOKUP("*"&amp;B105&amp;"*",currCode_Type!A:C,3,FALSE)</f>
        <v>Rupiah</v>
      </c>
      <c r="E105" s="9" t="str">
        <f t="shared" si="2"/>
        <v>INSERT INTO oecd_currencies (iso_country, country_name, iso_curry, curry_name) VALUES ('ID','INDONESIA','IDR','Rupiah');</v>
      </c>
      <c r="F105" s="11" t="str">
        <f t="shared" si="3"/>
        <v>INSERT INTO oecd_currencies (iso_country, country_name, iso_curry, curry_name) VALUES ('ID','INDONESIA','IDR','Rupiah');</v>
      </c>
    </row>
    <row r="106" spans="1:6" x14ac:dyDescent="0.25">
      <c r="A106" s="3" t="s">
        <v>389</v>
      </c>
      <c r="B106" s="4" t="s">
        <v>390</v>
      </c>
      <c r="C106" t="str">
        <f>VLOOKUP("*"&amp;B106&amp;"*",currCode_Type!A:C,2,FALSE)</f>
        <v>IRR</v>
      </c>
      <c r="D106" t="str">
        <f>VLOOKUP("*"&amp;B106&amp;"*",currCode_Type!A:C,3,FALSE)</f>
        <v>Iranian Rial</v>
      </c>
      <c r="E106" s="9" t="str">
        <f t="shared" si="2"/>
        <v>INSERT INTO oecd_currencies (iso_country, country_name, iso_curry, curry_name) VALUES ('IR','IRAN, ISLAMIC REPUBLIC OF','IRR','Iranian Rial');</v>
      </c>
      <c r="F106" s="11" t="str">
        <f t="shared" si="3"/>
        <v>INSERT INTO oecd_currencies (iso_country, country_name, iso_curry, curry_name) VALUES ('IR','IRAN, ISLAMIC REPUBLIC OF','IRR','Iranian Rial');</v>
      </c>
    </row>
    <row r="107" spans="1:6" x14ac:dyDescent="0.25">
      <c r="A107" s="1" t="s">
        <v>391</v>
      </c>
      <c r="B107" s="2" t="s">
        <v>392</v>
      </c>
      <c r="C107" t="str">
        <f>VLOOKUP("*"&amp;B107&amp;"*",currCode_Type!A:C,2,FALSE)</f>
        <v>IQD</v>
      </c>
      <c r="D107" t="str">
        <f>VLOOKUP("*"&amp;B107&amp;"*",currCode_Type!A:C,3,FALSE)</f>
        <v>Iraqi Dinar</v>
      </c>
      <c r="E107" s="9" t="str">
        <f t="shared" si="2"/>
        <v>INSERT INTO oecd_currencies (iso_country, country_name, iso_curry, curry_name) VALUES ('IQ','IRAQ','IQD','Iraqi Dinar');</v>
      </c>
      <c r="F107" s="11" t="str">
        <f t="shared" si="3"/>
        <v>INSERT INTO oecd_currencies (iso_country, country_name, iso_curry, curry_name) VALUES ('IQ','IRAQ','IQD','Iraqi Dinar');</v>
      </c>
    </row>
    <row r="108" spans="1:6" x14ac:dyDescent="0.25">
      <c r="A108" s="3" t="s">
        <v>393</v>
      </c>
      <c r="B108" s="4" t="s">
        <v>394</v>
      </c>
      <c r="C108" t="str">
        <f>VLOOKUP("*"&amp;B108&amp;"*",currCode_Type!A:C,2,FALSE)</f>
        <v>EUR</v>
      </c>
      <c r="D108" t="str">
        <f>VLOOKUP("*"&amp;B108&amp;"*",currCode_Type!A:C,3,FALSE)</f>
        <v>Euro</v>
      </c>
      <c r="E108" s="9" t="str">
        <f t="shared" si="2"/>
        <v>INSERT INTO oecd_currencies (iso_country, country_name, iso_curry, curry_name) VALUES ('IE','IRELAND','EUR','Euro');</v>
      </c>
      <c r="F108" s="11" t="str">
        <f t="shared" si="3"/>
        <v>INSERT INTO oecd_currencies (iso_country, country_name, iso_curry, curry_name) VALUES ('IE','IRELAND','EUR','Euro');</v>
      </c>
    </row>
    <row r="109" spans="1:6" x14ac:dyDescent="0.25">
      <c r="A109" s="1" t="s">
        <v>395</v>
      </c>
      <c r="B109" s="2" t="s">
        <v>396</v>
      </c>
      <c r="C109" t="str">
        <f>VLOOKUP("*"&amp;B109&amp;"*",currCode_Type!A:C,2,FALSE)</f>
        <v>GBP</v>
      </c>
      <c r="D109" t="str">
        <f>VLOOKUP("*"&amp;B109&amp;"*",currCode_Type!A:C,3,FALSE)</f>
        <v>Pound Sterling</v>
      </c>
      <c r="E109" s="9" t="str">
        <f t="shared" si="2"/>
        <v>INSERT INTO oecd_currencies (iso_country, country_name, iso_curry, curry_name) VALUES ('IM','ISLE OF MAN','GBP','Pound Sterling');</v>
      </c>
      <c r="F109" s="11" t="str">
        <f t="shared" si="3"/>
        <v>INSERT INTO oecd_currencies (iso_country, country_name, iso_curry, curry_name) VALUES ('IM','ISLE OF MAN','GBP','Pound Sterling');</v>
      </c>
    </row>
    <row r="110" spans="1:6" x14ac:dyDescent="0.25">
      <c r="A110" s="3" t="s">
        <v>397</v>
      </c>
      <c r="B110" s="4" t="s">
        <v>398</v>
      </c>
      <c r="C110" t="str">
        <f>VLOOKUP("*"&amp;B110&amp;"*",currCode_Type!A:C,2,FALSE)</f>
        <v>ILS</v>
      </c>
      <c r="D110" t="str">
        <f>VLOOKUP("*"&amp;B110&amp;"*",currCode_Type!A:C,3,FALSE)</f>
        <v>New Israeli Sheqel</v>
      </c>
      <c r="E110" s="9" t="str">
        <f t="shared" si="2"/>
        <v>INSERT INTO oecd_currencies (iso_country, country_name, iso_curry, curry_name) VALUES ('IL','ISRAEL','ILS','New Israeli Sheqel');</v>
      </c>
      <c r="F110" s="11" t="str">
        <f t="shared" si="3"/>
        <v>INSERT INTO oecd_currencies (iso_country, country_name, iso_curry, curry_name) VALUES ('IL','ISRAEL','ILS','New Israeli Sheqel');</v>
      </c>
    </row>
    <row r="111" spans="1:6" x14ac:dyDescent="0.25">
      <c r="A111" s="1" t="s">
        <v>399</v>
      </c>
      <c r="B111" s="2" t="s">
        <v>400</v>
      </c>
      <c r="C111" t="str">
        <f>VLOOKUP("*"&amp;B111&amp;"*",currCode_Type!A:C,2,FALSE)</f>
        <v>EUR</v>
      </c>
      <c r="D111" t="str">
        <f>VLOOKUP("*"&amp;B111&amp;"*",currCode_Type!A:C,3,FALSE)</f>
        <v>Euro</v>
      </c>
      <c r="E111" s="9" t="str">
        <f t="shared" si="2"/>
        <v>INSERT INTO oecd_currencies (iso_country, country_name, iso_curry, curry_name) VALUES ('IT','ITALY','EUR','Euro');</v>
      </c>
      <c r="F111" s="11" t="str">
        <f t="shared" si="3"/>
        <v>INSERT INTO oecd_currencies (iso_country, country_name, iso_curry, curry_name) VALUES ('IT','ITALY','EUR','Euro');</v>
      </c>
    </row>
    <row r="112" spans="1:6" x14ac:dyDescent="0.25">
      <c r="A112" s="3" t="s">
        <v>401</v>
      </c>
      <c r="B112" s="4" t="s">
        <v>402</v>
      </c>
      <c r="C112" t="str">
        <f>VLOOKUP("*"&amp;B112&amp;"*",currCode_Type!A:C,2,FALSE)</f>
        <v>JMD</v>
      </c>
      <c r="D112" t="str">
        <f>VLOOKUP("*"&amp;B112&amp;"*",currCode_Type!A:C,3,FALSE)</f>
        <v>Jamaican Dollar</v>
      </c>
      <c r="E112" s="9" t="str">
        <f t="shared" si="2"/>
        <v>INSERT INTO oecd_currencies (iso_country, country_name, iso_curry, curry_name) VALUES ('JM','JAMAICA','JMD','Jamaican Dollar');</v>
      </c>
      <c r="F112" s="11" t="str">
        <f t="shared" si="3"/>
        <v>INSERT INTO oecd_currencies (iso_country, country_name, iso_curry, curry_name) VALUES ('JM','JAMAICA','JMD','Jamaican Dollar');</v>
      </c>
    </row>
    <row r="113" spans="1:6" x14ac:dyDescent="0.25">
      <c r="A113" s="1" t="s">
        <v>403</v>
      </c>
      <c r="B113" s="2" t="s">
        <v>404</v>
      </c>
      <c r="C113" t="str">
        <f>VLOOKUP("*"&amp;B113&amp;"*",currCode_Type!A:C,2,FALSE)</f>
        <v>JPY</v>
      </c>
      <c r="D113" t="str">
        <f>VLOOKUP("*"&amp;B113&amp;"*",currCode_Type!A:C,3,FALSE)</f>
        <v>Yen</v>
      </c>
      <c r="E113" s="9" t="str">
        <f t="shared" si="2"/>
        <v>INSERT INTO oecd_currencies (iso_country, country_name, iso_curry, curry_name) VALUES ('JP','JAPAN','JPY','Yen');</v>
      </c>
      <c r="F113" s="11" t="str">
        <f t="shared" si="3"/>
        <v>INSERT INTO oecd_currencies (iso_country, country_name, iso_curry, curry_name) VALUES ('JP','JAPAN','JPY','Yen');</v>
      </c>
    </row>
    <row r="114" spans="1:6" x14ac:dyDescent="0.25">
      <c r="A114" s="3" t="s">
        <v>405</v>
      </c>
      <c r="B114" s="4" t="s">
        <v>406</v>
      </c>
      <c r="C114" t="str">
        <f>VLOOKUP("*"&amp;B114&amp;"*",currCode_Type!A:C,2,FALSE)</f>
        <v>GBP</v>
      </c>
      <c r="D114" t="str">
        <f>VLOOKUP("*"&amp;B114&amp;"*",currCode_Type!A:C,3,FALSE)</f>
        <v>Pound Sterling</v>
      </c>
      <c r="E114" s="9" t="str">
        <f t="shared" si="2"/>
        <v>INSERT INTO oecd_currencies (iso_country, country_name, iso_curry, curry_name) VALUES ('JE','JERSEY','GBP','Pound Sterling');</v>
      </c>
      <c r="F114" s="11" t="str">
        <f t="shared" si="3"/>
        <v>INSERT INTO oecd_currencies (iso_country, country_name, iso_curry, curry_name) VALUES ('JE','JERSEY','GBP','Pound Sterling');</v>
      </c>
    </row>
    <row r="115" spans="1:6" x14ac:dyDescent="0.25">
      <c r="A115" s="1" t="s">
        <v>407</v>
      </c>
      <c r="B115" s="2" t="s">
        <v>408</v>
      </c>
      <c r="C115" t="str">
        <f>VLOOKUP("*"&amp;B115&amp;"*",currCode_Type!A:C,2,FALSE)</f>
        <v>JOD</v>
      </c>
      <c r="D115" t="str">
        <f>VLOOKUP("*"&amp;B115&amp;"*",currCode_Type!A:C,3,FALSE)</f>
        <v>Jordanian Dinar</v>
      </c>
      <c r="E115" s="9" t="str">
        <f t="shared" si="2"/>
        <v>INSERT INTO oecd_currencies (iso_country, country_name, iso_curry, curry_name) VALUES ('JO','JORDAN','JOD','Jordanian Dinar');</v>
      </c>
      <c r="F115" s="11" t="str">
        <f t="shared" si="3"/>
        <v>INSERT INTO oecd_currencies (iso_country, country_name, iso_curry, curry_name) VALUES ('JO','JORDAN','JOD','Jordanian Dinar');</v>
      </c>
    </row>
    <row r="116" spans="1:6" x14ac:dyDescent="0.25">
      <c r="A116" s="3" t="s">
        <v>409</v>
      </c>
      <c r="B116" s="4" t="s">
        <v>410</v>
      </c>
      <c r="C116" t="str">
        <f>VLOOKUP("*"&amp;B116&amp;"*",currCode_Type!A:C,2,FALSE)</f>
        <v>KZT</v>
      </c>
      <c r="D116" t="str">
        <f>VLOOKUP("*"&amp;B116&amp;"*",currCode_Type!A:C,3,FALSE)</f>
        <v>Tenge</v>
      </c>
      <c r="E116" s="9" t="str">
        <f t="shared" si="2"/>
        <v>INSERT INTO oecd_currencies (iso_country, country_name, iso_curry, curry_name) VALUES ('KZ','KAZAKHSTAN','KZT','Tenge');</v>
      </c>
      <c r="F116" s="11" t="str">
        <f t="shared" si="3"/>
        <v>INSERT INTO oecd_currencies (iso_country, country_name, iso_curry, curry_name) VALUES ('KZ','KAZAKHSTAN','KZT','Tenge');</v>
      </c>
    </row>
    <row r="117" spans="1:6" x14ac:dyDescent="0.25">
      <c r="A117" s="1" t="s">
        <v>411</v>
      </c>
      <c r="B117" s="2" t="s">
        <v>412</v>
      </c>
      <c r="C117" t="str">
        <f>VLOOKUP("*"&amp;B117&amp;"*",currCode_Type!A:C,2,FALSE)</f>
        <v>KES</v>
      </c>
      <c r="D117" t="str">
        <f>VLOOKUP("*"&amp;B117&amp;"*",currCode_Type!A:C,3,FALSE)</f>
        <v>Kenyan Shilling</v>
      </c>
      <c r="E117" s="9" t="str">
        <f t="shared" si="2"/>
        <v>INSERT INTO oecd_currencies (iso_country, country_name, iso_curry, curry_name) VALUES ('KE','KENYA','KES','Kenyan Shilling');</v>
      </c>
      <c r="F117" s="11" t="str">
        <f t="shared" si="3"/>
        <v>INSERT INTO oecd_currencies (iso_country, country_name, iso_curry, curry_name) VALUES ('KE','KENYA','KES','Kenyan Shilling');</v>
      </c>
    </row>
    <row r="118" spans="1:6" x14ac:dyDescent="0.25">
      <c r="A118" s="3" t="s">
        <v>413</v>
      </c>
      <c r="B118" s="4" t="s">
        <v>414</v>
      </c>
      <c r="C118" t="str">
        <f>VLOOKUP("*"&amp;B118&amp;"*",currCode_Type!A:C,2,FALSE)</f>
        <v>AUD</v>
      </c>
      <c r="D118" t="str">
        <f>VLOOKUP("*"&amp;B118&amp;"*",currCode_Type!A:C,3,FALSE)</f>
        <v>Australian Dollar</v>
      </c>
      <c r="E118" s="9" t="str">
        <f t="shared" si="2"/>
        <v>INSERT INTO oecd_currencies (iso_country, country_name, iso_curry, curry_name) VALUES ('KI','KIRIBATI','AUD','Australian Dollar');</v>
      </c>
      <c r="F118" s="11" t="str">
        <f t="shared" si="3"/>
        <v>INSERT INTO oecd_currencies (iso_country, country_name, iso_curry, curry_name) VALUES ('KI','KIRIBATI','AUD','Australian Dollar');</v>
      </c>
    </row>
    <row r="119" spans="1:6" x14ac:dyDescent="0.25">
      <c r="A119" s="1" t="s">
        <v>415</v>
      </c>
      <c r="B119" s="2" t="s">
        <v>416</v>
      </c>
      <c r="C119" t="e">
        <f>VLOOKUP("*"&amp;B119&amp;"*",currCode_Type!A:C,2,FALSE)</f>
        <v>#N/A</v>
      </c>
      <c r="D119" t="e">
        <f>VLOOKUP("*"&amp;B119&amp;"*",currCode_Type!A:C,3,FALSE)</f>
        <v>#N/A</v>
      </c>
      <c r="E119" s="9" t="e">
        <f t="shared" si="2"/>
        <v>#N/A</v>
      </c>
      <c r="F119" s="11" t="e">
        <f t="shared" si="3"/>
        <v>#N/A</v>
      </c>
    </row>
    <row r="120" spans="1:6" x14ac:dyDescent="0.25">
      <c r="A120" s="3" t="s">
        <v>417</v>
      </c>
      <c r="B120" s="4" t="s">
        <v>418</v>
      </c>
      <c r="C120" t="str">
        <f>VLOOKUP("*"&amp;B120&amp;"*",currCode_Type!A:C,2,FALSE)</f>
        <v>KRW</v>
      </c>
      <c r="D120" t="str">
        <f>VLOOKUP("*"&amp;B120&amp;"*",currCode_Type!A:C,3,FALSE)</f>
        <v>Won</v>
      </c>
      <c r="E120" s="9" t="str">
        <f t="shared" si="2"/>
        <v>INSERT INTO oecd_currencies (iso_country, country_name, iso_curry, curry_name) VALUES ('KR','KOREA, REPUBLIC OF','KRW','Won');</v>
      </c>
      <c r="F120" s="11" t="str">
        <f t="shared" si="3"/>
        <v>INSERT INTO oecd_currencies (iso_country, country_name, iso_curry, curry_name) VALUES ('KR','KOREA, REPUBLIC OF','KRW','Won');</v>
      </c>
    </row>
    <row r="121" spans="1:6" x14ac:dyDescent="0.25">
      <c r="A121" s="1" t="s">
        <v>419</v>
      </c>
      <c r="B121" s="2" t="s">
        <v>420</v>
      </c>
      <c r="C121" t="str">
        <f>VLOOKUP("*"&amp;B121&amp;"*",currCode_Type!A:C,2,FALSE)</f>
        <v>KWD</v>
      </c>
      <c r="D121" t="str">
        <f>VLOOKUP("*"&amp;B121&amp;"*",currCode_Type!A:C,3,FALSE)</f>
        <v>Kuwaiti Dinar</v>
      </c>
      <c r="E121" s="9" t="str">
        <f t="shared" si="2"/>
        <v>INSERT INTO oecd_currencies (iso_country, country_name, iso_curry, curry_name) VALUES ('KW','KUWAIT','KWD','Kuwaiti Dinar');</v>
      </c>
      <c r="F121" s="11" t="str">
        <f t="shared" si="3"/>
        <v>INSERT INTO oecd_currencies (iso_country, country_name, iso_curry, curry_name) VALUES ('KW','KUWAIT','KWD','Kuwaiti Dinar');</v>
      </c>
    </row>
    <row r="122" spans="1:6" x14ac:dyDescent="0.25">
      <c r="A122" s="3" t="s">
        <v>421</v>
      </c>
      <c r="B122" s="4" t="s">
        <v>422</v>
      </c>
      <c r="C122" t="str">
        <f>VLOOKUP("*"&amp;B122&amp;"*",currCode_Type!A:C,2,FALSE)</f>
        <v>KGS</v>
      </c>
      <c r="D122" t="str">
        <f>VLOOKUP("*"&amp;B122&amp;"*",currCode_Type!A:C,3,FALSE)</f>
        <v>Som</v>
      </c>
      <c r="E122" s="9" t="str">
        <f t="shared" si="2"/>
        <v>INSERT INTO oecd_currencies (iso_country, country_name, iso_curry, curry_name) VALUES ('KG','KYRGYZSTAN','KGS','Som');</v>
      </c>
      <c r="F122" s="11" t="str">
        <f t="shared" si="3"/>
        <v>INSERT INTO oecd_currencies (iso_country, country_name, iso_curry, curry_name) VALUES ('KG','KYRGYZSTAN','KGS','Som');</v>
      </c>
    </row>
    <row r="123" spans="1:6" x14ac:dyDescent="0.25">
      <c r="A123" s="1" t="s">
        <v>423</v>
      </c>
      <c r="B123" s="2" t="s">
        <v>424</v>
      </c>
      <c r="C123" t="e">
        <f>VLOOKUP("*"&amp;B123&amp;"*",currCode_Type!A:C,2,FALSE)</f>
        <v>#N/A</v>
      </c>
      <c r="D123" t="e">
        <f>VLOOKUP("*"&amp;B123&amp;"*",currCode_Type!A:C,3,FALSE)</f>
        <v>#N/A</v>
      </c>
      <c r="E123" s="9" t="e">
        <f t="shared" si="2"/>
        <v>#N/A</v>
      </c>
      <c r="F123" s="11" t="e">
        <f t="shared" si="3"/>
        <v>#N/A</v>
      </c>
    </row>
    <row r="124" spans="1:6" x14ac:dyDescent="0.25">
      <c r="A124" s="3" t="s">
        <v>425</v>
      </c>
      <c r="B124" s="4" t="s">
        <v>426</v>
      </c>
      <c r="C124" t="str">
        <f>VLOOKUP("*"&amp;B124&amp;"*",currCode_Type!A:C,2,FALSE)</f>
        <v>LVL</v>
      </c>
      <c r="D124" t="str">
        <f>VLOOKUP("*"&amp;B124&amp;"*",currCode_Type!A:C,3,FALSE)</f>
        <v>Latvian Lats</v>
      </c>
      <c r="E124" s="9" t="str">
        <f t="shared" si="2"/>
        <v>INSERT INTO oecd_currencies (iso_country, country_name, iso_curry, curry_name) VALUES ('LV','LATVIA','LVL','Latvian Lats');</v>
      </c>
      <c r="F124" s="11" t="str">
        <f t="shared" si="3"/>
        <v>INSERT INTO oecd_currencies (iso_country, country_name, iso_curry, curry_name) VALUES ('LV','LATVIA','LVL','Latvian Lats');</v>
      </c>
    </row>
    <row r="125" spans="1:6" x14ac:dyDescent="0.25">
      <c r="A125" s="1" t="s">
        <v>427</v>
      </c>
      <c r="B125" s="2" t="s">
        <v>428</v>
      </c>
      <c r="C125" t="str">
        <f>VLOOKUP("*"&amp;B125&amp;"*",currCode_Type!A:C,2,FALSE)</f>
        <v>LBP</v>
      </c>
      <c r="D125" t="str">
        <f>VLOOKUP("*"&amp;B125&amp;"*",currCode_Type!A:C,3,FALSE)</f>
        <v>Lebanese Pound</v>
      </c>
      <c r="E125" s="9" t="str">
        <f t="shared" si="2"/>
        <v>INSERT INTO oecd_currencies (iso_country, country_name, iso_curry, curry_name) VALUES ('LB','LEBANON','LBP','Lebanese Pound');</v>
      </c>
      <c r="F125" s="11" t="str">
        <f t="shared" si="3"/>
        <v>INSERT INTO oecd_currencies (iso_country, country_name, iso_curry, curry_name) VALUES ('LB','LEBANON','LBP','Lebanese Pound');</v>
      </c>
    </row>
    <row r="126" spans="1:6" x14ac:dyDescent="0.25">
      <c r="A126" s="3" t="s">
        <v>429</v>
      </c>
      <c r="B126" s="4" t="s">
        <v>430</v>
      </c>
      <c r="C126" t="str">
        <f>VLOOKUP("*"&amp;B126&amp;"*",currCode_Type!A:C,2,FALSE)</f>
        <v>LSL</v>
      </c>
      <c r="D126" t="str">
        <f>VLOOKUP("*"&amp;B126&amp;"*",currCode_Type!A:C,3,FALSE)</f>
        <v>Loti</v>
      </c>
      <c r="E126" s="9" t="str">
        <f t="shared" si="2"/>
        <v>INSERT INTO oecd_currencies (iso_country, country_name, iso_curry, curry_name) VALUES ('LS','LESOTHO','LSL','Loti');</v>
      </c>
      <c r="F126" s="11" t="str">
        <f t="shared" si="3"/>
        <v>INSERT INTO oecd_currencies (iso_country, country_name, iso_curry, curry_name) VALUES ('LS','LESOTHO','LSL','Loti');</v>
      </c>
    </row>
    <row r="127" spans="1:6" x14ac:dyDescent="0.25">
      <c r="A127" s="1" t="s">
        <v>431</v>
      </c>
      <c r="B127" s="2" t="s">
        <v>432</v>
      </c>
      <c r="C127" t="str">
        <f>VLOOKUP("*"&amp;B127&amp;"*",currCode_Type!A:C,2,FALSE)</f>
        <v>LRD</v>
      </c>
      <c r="D127" t="str">
        <f>VLOOKUP("*"&amp;B127&amp;"*",currCode_Type!A:C,3,FALSE)</f>
        <v>Liberian Dollar</v>
      </c>
      <c r="E127" s="9" t="str">
        <f t="shared" si="2"/>
        <v>INSERT INTO oecd_currencies (iso_country, country_name, iso_curry, curry_name) VALUES ('LR','LIBERIA','LRD','Liberian Dollar');</v>
      </c>
      <c r="F127" s="11" t="str">
        <f t="shared" si="3"/>
        <v>INSERT INTO oecd_currencies (iso_country, country_name, iso_curry, curry_name) VALUES ('LR','LIBERIA','LRD','Liberian Dollar');</v>
      </c>
    </row>
    <row r="128" spans="1:6" x14ac:dyDescent="0.25">
      <c r="A128" s="3" t="s">
        <v>433</v>
      </c>
      <c r="B128" s="4" t="s">
        <v>434</v>
      </c>
      <c r="C128" t="str">
        <f>VLOOKUP("*"&amp;B128&amp;"*",currCode_Type!A:C,2,FALSE)</f>
        <v>LYD</v>
      </c>
      <c r="D128" t="str">
        <f>VLOOKUP("*"&amp;B128&amp;"*",currCode_Type!A:C,3,FALSE)</f>
        <v>Libyan Dinar</v>
      </c>
      <c r="E128" s="9" t="str">
        <f t="shared" si="2"/>
        <v>INSERT INTO oecd_currencies (iso_country, country_name, iso_curry, curry_name) VALUES ('LY','LIBYA','LYD','Libyan Dinar');</v>
      </c>
      <c r="F128" s="11" t="str">
        <f t="shared" si="3"/>
        <v>INSERT INTO oecd_currencies (iso_country, country_name, iso_curry, curry_name) VALUES ('LY','LIBYA','LYD','Libyan Dinar');</v>
      </c>
    </row>
    <row r="129" spans="1:6" x14ac:dyDescent="0.25">
      <c r="A129" s="1" t="s">
        <v>435</v>
      </c>
      <c r="B129" s="2" t="s">
        <v>436</v>
      </c>
      <c r="C129" t="str">
        <f>VLOOKUP("*"&amp;B129&amp;"*",currCode_Type!A:C,2,FALSE)</f>
        <v>CHF</v>
      </c>
      <c r="D129" t="str">
        <f>VLOOKUP("*"&amp;B129&amp;"*",currCode_Type!A:C,3,FALSE)</f>
        <v>Swiss Franc</v>
      </c>
      <c r="E129" s="9" t="str">
        <f t="shared" si="2"/>
        <v>INSERT INTO oecd_currencies (iso_country, country_name, iso_curry, curry_name) VALUES ('LI','LIECHTENSTEIN','CHF','Swiss Franc');</v>
      </c>
      <c r="F129" s="11" t="str">
        <f t="shared" si="3"/>
        <v>INSERT INTO oecd_currencies (iso_country, country_name, iso_curry, curry_name) VALUES ('LI','LIECHTENSTEIN','CHF','Swiss Franc');</v>
      </c>
    </row>
    <row r="130" spans="1:6" x14ac:dyDescent="0.25">
      <c r="A130" s="3" t="s">
        <v>437</v>
      </c>
      <c r="B130" s="4" t="s">
        <v>438</v>
      </c>
      <c r="C130" t="str">
        <f>VLOOKUP("*"&amp;B130&amp;"*",currCode_Type!A:C,2,FALSE)</f>
        <v>LTL</v>
      </c>
      <c r="D130" t="str">
        <f>VLOOKUP("*"&amp;B130&amp;"*",currCode_Type!A:C,3,FALSE)</f>
        <v>Lithuanian Litas</v>
      </c>
      <c r="E130" s="9" t="str">
        <f t="shared" si="2"/>
        <v>INSERT INTO oecd_currencies (iso_country, country_name, iso_curry, curry_name) VALUES ('LT','LITHUANIA','LTL','Lithuanian Litas');</v>
      </c>
      <c r="F130" s="11" t="str">
        <f t="shared" si="3"/>
        <v>INSERT INTO oecd_currencies (iso_country, country_name, iso_curry, curry_name) VALUES ('LT','LITHUANIA','LTL','Lithuanian Litas');</v>
      </c>
    </row>
    <row r="131" spans="1:6" x14ac:dyDescent="0.25">
      <c r="A131" s="1" t="s">
        <v>439</v>
      </c>
      <c r="B131" s="2" t="s">
        <v>440</v>
      </c>
      <c r="C131" t="str">
        <f>VLOOKUP("*"&amp;B131&amp;"*",currCode_Type!A:C,2,FALSE)</f>
        <v>EUR</v>
      </c>
      <c r="D131" t="str">
        <f>VLOOKUP("*"&amp;B131&amp;"*",currCode_Type!A:C,3,FALSE)</f>
        <v>Euro</v>
      </c>
      <c r="E131" s="9" t="str">
        <f t="shared" ref="E131:E194" si="4">"INSERT INTO oecd_currencies (iso_country, country_name, iso_curry, curry_name) VALUES ("&amp;"'"&amp;A131&amp;"'"&amp;","&amp;"'"&amp;B131&amp;"'"&amp;","&amp;"'"&amp;C131&amp;"'"&amp;","&amp;"'"&amp;D131&amp;"'"&amp;");"</f>
        <v>INSERT INTO oecd_currencies (iso_country, country_name, iso_curry, curry_name) VALUES ('LU','LUXEMBOURG','EUR','Euro');</v>
      </c>
      <c r="F131" s="11" t="str">
        <f t="shared" ref="F131:F194" si="5">"INSERT INTO oecd_currencies (iso_country, country_name, iso_curry, curry_name) VALUES ("&amp;"'"&amp;A131&amp;"'"&amp;","&amp;"'"&amp;B131&amp;"'"&amp;","&amp;"'"&amp;C131&amp;"'"&amp;","&amp;"'"&amp;D131&amp;"'"&amp;");"</f>
        <v>INSERT INTO oecd_currencies (iso_country, country_name, iso_curry, curry_name) VALUES ('LU','LUXEMBOURG','EUR','Euro');</v>
      </c>
    </row>
    <row r="132" spans="1:6" x14ac:dyDescent="0.25">
      <c r="A132" s="3" t="s">
        <v>441</v>
      </c>
      <c r="B132" s="4" t="s">
        <v>442</v>
      </c>
      <c r="C132" t="str">
        <f>VLOOKUP("*"&amp;B132&amp;"*",currCode_Type!A:C,2,FALSE)</f>
        <v>MOP</v>
      </c>
      <c r="D132" t="str">
        <f>VLOOKUP("*"&amp;B132&amp;"*",currCode_Type!A:C,3,FALSE)</f>
        <v>Pataca</v>
      </c>
      <c r="E132" s="9" t="str">
        <f t="shared" si="4"/>
        <v>INSERT INTO oecd_currencies (iso_country, country_name, iso_curry, curry_name) VALUES ('MO','MACAO','MOP','Pataca');</v>
      </c>
      <c r="F132" s="11" t="str">
        <f t="shared" si="5"/>
        <v>INSERT INTO oecd_currencies (iso_country, country_name, iso_curry, curry_name) VALUES ('MO','MACAO','MOP','Pataca');</v>
      </c>
    </row>
    <row r="133" spans="1:6" x14ac:dyDescent="0.25">
      <c r="A133" s="1" t="s">
        <v>443</v>
      </c>
      <c r="B133" s="2" t="s">
        <v>444</v>
      </c>
      <c r="C133" t="str">
        <f>VLOOKUP("*"&amp;B133&amp;"*",currCode_Type!A:C,2,FALSE)</f>
        <v>MKD</v>
      </c>
      <c r="D133" t="str">
        <f>VLOOKUP("*"&amp;B133&amp;"*",currCode_Type!A:C,3,FALSE)</f>
        <v>Denar</v>
      </c>
      <c r="E133" s="9" t="str">
        <f t="shared" si="4"/>
        <v>INSERT INTO oecd_currencies (iso_country, country_name, iso_curry, curry_name) VALUES ('MK','MACEDONIA, THE FORMER YUGOSLAV REPUBLIC OF','MKD','Denar');</v>
      </c>
      <c r="F133" s="11" t="str">
        <f t="shared" si="5"/>
        <v>INSERT INTO oecd_currencies (iso_country, country_name, iso_curry, curry_name) VALUES ('MK','MACEDONIA, THE FORMER YUGOSLAV REPUBLIC OF','MKD','Denar');</v>
      </c>
    </row>
    <row r="134" spans="1:6" x14ac:dyDescent="0.25">
      <c r="A134" s="3" t="s">
        <v>445</v>
      </c>
      <c r="B134" s="4" t="s">
        <v>446</v>
      </c>
      <c r="C134" t="str">
        <f>VLOOKUP("*"&amp;B134&amp;"*",currCode_Type!A:C,2,FALSE)</f>
        <v>MGA</v>
      </c>
      <c r="D134" t="str">
        <f>VLOOKUP("*"&amp;B134&amp;"*",currCode_Type!A:C,3,FALSE)</f>
        <v>Malagasy Ariary</v>
      </c>
      <c r="E134" s="9" t="str">
        <f t="shared" si="4"/>
        <v>INSERT INTO oecd_currencies (iso_country, country_name, iso_curry, curry_name) VALUES ('MG','MADAGASCAR','MGA','Malagasy Ariary');</v>
      </c>
      <c r="F134" s="11" t="str">
        <f t="shared" si="5"/>
        <v>INSERT INTO oecd_currencies (iso_country, country_name, iso_curry, curry_name) VALUES ('MG','MADAGASCAR','MGA','Malagasy Ariary');</v>
      </c>
    </row>
    <row r="135" spans="1:6" x14ac:dyDescent="0.25">
      <c r="A135" s="1" t="s">
        <v>447</v>
      </c>
      <c r="B135" s="2" t="s">
        <v>448</v>
      </c>
      <c r="C135" t="str">
        <f>VLOOKUP("*"&amp;B135&amp;"*",currCode_Type!A:C,2,FALSE)</f>
        <v>MWK</v>
      </c>
      <c r="D135" t="str">
        <f>VLOOKUP("*"&amp;B135&amp;"*",currCode_Type!A:C,3,FALSE)</f>
        <v>Kwacha</v>
      </c>
      <c r="E135" s="9" t="str">
        <f t="shared" si="4"/>
        <v>INSERT INTO oecd_currencies (iso_country, country_name, iso_curry, curry_name) VALUES ('MW','MALAWI','MWK','Kwacha');</v>
      </c>
      <c r="F135" s="11" t="str">
        <f t="shared" si="5"/>
        <v>INSERT INTO oecd_currencies (iso_country, country_name, iso_curry, curry_name) VALUES ('MW','MALAWI','MWK','Kwacha');</v>
      </c>
    </row>
    <row r="136" spans="1:6" x14ac:dyDescent="0.25">
      <c r="A136" s="3" t="s">
        <v>449</v>
      </c>
      <c r="B136" s="4" t="s">
        <v>450</v>
      </c>
      <c r="C136" t="str">
        <f>VLOOKUP("*"&amp;B136&amp;"*",currCode_Type!A:C,2,FALSE)</f>
        <v>MYR</v>
      </c>
      <c r="D136" t="str">
        <f>VLOOKUP("*"&amp;B136&amp;"*",currCode_Type!A:C,3,FALSE)</f>
        <v>Malaysian Ringgit</v>
      </c>
      <c r="E136" s="9" t="str">
        <f t="shared" si="4"/>
        <v>INSERT INTO oecd_currencies (iso_country, country_name, iso_curry, curry_name) VALUES ('MY','MALAYSIA','MYR','Malaysian Ringgit');</v>
      </c>
      <c r="F136" s="11" t="str">
        <f t="shared" si="5"/>
        <v>INSERT INTO oecd_currencies (iso_country, country_name, iso_curry, curry_name) VALUES ('MY','MALAYSIA','MYR','Malaysian Ringgit');</v>
      </c>
    </row>
    <row r="137" spans="1:6" x14ac:dyDescent="0.25">
      <c r="A137" s="1" t="s">
        <v>451</v>
      </c>
      <c r="B137" s="2" t="s">
        <v>452</v>
      </c>
      <c r="C137" t="str">
        <f>VLOOKUP("*"&amp;B137&amp;"*",currCode_Type!A:C,2,FALSE)</f>
        <v>MVR</v>
      </c>
      <c r="D137" t="str">
        <f>VLOOKUP("*"&amp;B137&amp;"*",currCode_Type!A:C,3,FALSE)</f>
        <v>Rufiyaa</v>
      </c>
      <c r="E137" s="9" t="str">
        <f t="shared" si="4"/>
        <v>INSERT INTO oecd_currencies (iso_country, country_name, iso_curry, curry_name) VALUES ('MV','MALDIVES','MVR','Rufiyaa');</v>
      </c>
      <c r="F137" s="11" t="str">
        <f t="shared" si="5"/>
        <v>INSERT INTO oecd_currencies (iso_country, country_name, iso_curry, curry_name) VALUES ('MV','MALDIVES','MVR','Rufiyaa');</v>
      </c>
    </row>
    <row r="138" spans="1:6" x14ac:dyDescent="0.25">
      <c r="A138" s="3" t="s">
        <v>453</v>
      </c>
      <c r="B138" s="4" t="s">
        <v>454</v>
      </c>
      <c r="C138" t="str">
        <f>VLOOKUP("*"&amp;B138&amp;"*",currCode_Type!A:C,2,FALSE)</f>
        <v>SOS</v>
      </c>
      <c r="D138" t="str">
        <f>VLOOKUP("*"&amp;B138&amp;"*",currCode_Type!A:C,3,FALSE)</f>
        <v>Somali Shilling</v>
      </c>
      <c r="E138" s="9" t="str">
        <f t="shared" si="4"/>
        <v>INSERT INTO oecd_currencies (iso_country, country_name, iso_curry, curry_name) VALUES ('ML','MALI','SOS','Somali Shilling');</v>
      </c>
      <c r="F138" s="11" t="str">
        <f t="shared" si="5"/>
        <v>INSERT INTO oecd_currencies (iso_country, country_name, iso_curry, curry_name) VALUES ('ML','MALI','SOS','Somali Shilling');</v>
      </c>
    </row>
    <row r="139" spans="1:6" x14ac:dyDescent="0.25">
      <c r="A139" s="1" t="s">
        <v>455</v>
      </c>
      <c r="B139" s="2" t="s">
        <v>456</v>
      </c>
      <c r="C139" t="str">
        <f>VLOOKUP("*"&amp;B139&amp;"*",currCode_Type!A:C,2,FALSE)</f>
        <v>EUR</v>
      </c>
      <c r="D139" t="str">
        <f>VLOOKUP("*"&amp;B139&amp;"*",currCode_Type!A:C,3,FALSE)</f>
        <v>Euro</v>
      </c>
      <c r="E139" s="9" t="str">
        <f t="shared" si="4"/>
        <v>INSERT INTO oecd_currencies (iso_country, country_name, iso_curry, curry_name) VALUES ('MT','MALTA','EUR','Euro');</v>
      </c>
      <c r="F139" s="11" t="str">
        <f t="shared" si="5"/>
        <v>INSERT INTO oecd_currencies (iso_country, country_name, iso_curry, curry_name) VALUES ('MT','MALTA','EUR','Euro');</v>
      </c>
    </row>
    <row r="140" spans="1:6" x14ac:dyDescent="0.25">
      <c r="A140" s="3" t="s">
        <v>457</v>
      </c>
      <c r="B140" s="4" t="s">
        <v>458</v>
      </c>
      <c r="C140" t="str">
        <f>VLOOKUP("*"&amp;B140&amp;"*",currCode_Type!A:C,2,FALSE)</f>
        <v>USD</v>
      </c>
      <c r="D140" t="str">
        <f>VLOOKUP("*"&amp;B140&amp;"*",currCode_Type!A:C,3,FALSE)</f>
        <v>US Dollar</v>
      </c>
      <c r="E140" s="9" t="str">
        <f t="shared" si="4"/>
        <v>INSERT INTO oecd_currencies (iso_country, country_name, iso_curry, curry_name) VALUES ('MH','MARSHALL ISLANDS','USD','US Dollar');</v>
      </c>
      <c r="F140" s="11" t="str">
        <f t="shared" si="5"/>
        <v>INSERT INTO oecd_currencies (iso_country, country_name, iso_curry, curry_name) VALUES ('MH','MARSHALL ISLANDS','USD','US Dollar');</v>
      </c>
    </row>
    <row r="141" spans="1:6" x14ac:dyDescent="0.25">
      <c r="A141" s="1" t="s">
        <v>459</v>
      </c>
      <c r="B141" s="2" t="s">
        <v>460</v>
      </c>
      <c r="C141" t="str">
        <f>VLOOKUP("*"&amp;B141&amp;"*",currCode_Type!A:C,2,FALSE)</f>
        <v>EUR</v>
      </c>
      <c r="D141" t="str">
        <f>VLOOKUP("*"&amp;B141&amp;"*",currCode_Type!A:C,3,FALSE)</f>
        <v>Euro</v>
      </c>
      <c r="E141" s="9" t="str">
        <f t="shared" si="4"/>
        <v>INSERT INTO oecd_currencies (iso_country, country_name, iso_curry, curry_name) VALUES ('MQ','MARTINIQUE','EUR','Euro');</v>
      </c>
      <c r="F141" s="11" t="str">
        <f t="shared" si="5"/>
        <v>INSERT INTO oecd_currencies (iso_country, country_name, iso_curry, curry_name) VALUES ('MQ','MARTINIQUE','EUR','Euro');</v>
      </c>
    </row>
    <row r="142" spans="1:6" x14ac:dyDescent="0.25">
      <c r="A142" s="3" t="s">
        <v>461</v>
      </c>
      <c r="B142" s="4" t="s">
        <v>462</v>
      </c>
      <c r="C142" t="str">
        <f>VLOOKUP("*"&amp;B142&amp;"*",currCode_Type!A:C,2,FALSE)</f>
        <v>MRO</v>
      </c>
      <c r="D142" t="str">
        <f>VLOOKUP("*"&amp;B142&amp;"*",currCode_Type!A:C,3,FALSE)</f>
        <v>Ouguiya</v>
      </c>
      <c r="E142" s="9" t="str">
        <f t="shared" si="4"/>
        <v>INSERT INTO oecd_currencies (iso_country, country_name, iso_curry, curry_name) VALUES ('MR','MAURITANIA','MRO','Ouguiya');</v>
      </c>
      <c r="F142" s="11" t="str">
        <f t="shared" si="5"/>
        <v>INSERT INTO oecd_currencies (iso_country, country_name, iso_curry, curry_name) VALUES ('MR','MAURITANIA','MRO','Ouguiya');</v>
      </c>
    </row>
    <row r="143" spans="1:6" x14ac:dyDescent="0.25">
      <c r="A143" s="1" t="s">
        <v>463</v>
      </c>
      <c r="B143" s="2" t="s">
        <v>464</v>
      </c>
      <c r="C143" t="str">
        <f>VLOOKUP("*"&amp;B143&amp;"*",currCode_Type!A:C,2,FALSE)</f>
        <v>MUR</v>
      </c>
      <c r="D143" t="str">
        <f>VLOOKUP("*"&amp;B143&amp;"*",currCode_Type!A:C,3,FALSE)</f>
        <v>Mauritius Rupee</v>
      </c>
      <c r="E143" s="9" t="str">
        <f t="shared" si="4"/>
        <v>INSERT INTO oecd_currencies (iso_country, country_name, iso_curry, curry_name) VALUES ('MU','MAURITIUS','MUR','Mauritius Rupee');</v>
      </c>
      <c r="F143" s="11" t="str">
        <f t="shared" si="5"/>
        <v>INSERT INTO oecd_currencies (iso_country, country_name, iso_curry, curry_name) VALUES ('MU','MAURITIUS','MUR','Mauritius Rupee');</v>
      </c>
    </row>
    <row r="144" spans="1:6" x14ac:dyDescent="0.25">
      <c r="A144" s="3" t="s">
        <v>465</v>
      </c>
      <c r="B144" s="4" t="s">
        <v>466</v>
      </c>
      <c r="C144" t="str">
        <f>VLOOKUP("*"&amp;B144&amp;"*",currCode_Type!A:C,2,FALSE)</f>
        <v>EUR</v>
      </c>
      <c r="D144" t="str">
        <f>VLOOKUP("*"&amp;B144&amp;"*",currCode_Type!A:C,3,FALSE)</f>
        <v>Euro</v>
      </c>
      <c r="E144" s="9" t="str">
        <f t="shared" si="4"/>
        <v>INSERT INTO oecd_currencies (iso_country, country_name, iso_curry, curry_name) VALUES ('YT','MAYOTTE','EUR','Euro');</v>
      </c>
      <c r="F144" s="11" t="str">
        <f t="shared" si="5"/>
        <v>INSERT INTO oecd_currencies (iso_country, country_name, iso_curry, curry_name) VALUES ('YT','MAYOTTE','EUR','Euro');</v>
      </c>
    </row>
    <row r="145" spans="1:6" x14ac:dyDescent="0.25">
      <c r="A145" s="1" t="s">
        <v>467</v>
      </c>
      <c r="B145" s="2" t="s">
        <v>468</v>
      </c>
      <c r="C145" t="str">
        <f>VLOOKUP("*"&amp;B145&amp;"*",currCode_Type!A:C,2,FALSE)</f>
        <v>MXN</v>
      </c>
      <c r="D145" t="str">
        <f>VLOOKUP("*"&amp;B145&amp;"*",currCode_Type!A:C,3,FALSE)</f>
        <v>Mexican Peso</v>
      </c>
      <c r="E145" s="9" t="str">
        <f t="shared" si="4"/>
        <v>INSERT INTO oecd_currencies (iso_country, country_name, iso_curry, curry_name) VALUES ('MX','MEXICO','MXN','Mexican Peso');</v>
      </c>
      <c r="F145" s="11" t="str">
        <f t="shared" si="5"/>
        <v>INSERT INTO oecd_currencies (iso_country, country_name, iso_curry, curry_name) VALUES ('MX','MEXICO','MXN','Mexican Peso');</v>
      </c>
    </row>
    <row r="146" spans="1:6" x14ac:dyDescent="0.25">
      <c r="A146" s="3" t="s">
        <v>469</v>
      </c>
      <c r="B146" s="4" t="s">
        <v>470</v>
      </c>
      <c r="C146" t="str">
        <f>VLOOKUP("*"&amp;B146&amp;"*",currCode_Type!A:C,2,FALSE)</f>
        <v>USD</v>
      </c>
      <c r="D146" t="str">
        <f>VLOOKUP("*"&amp;B146&amp;"*",currCode_Type!A:C,3,FALSE)</f>
        <v>US Dollar</v>
      </c>
      <c r="E146" s="9" t="str">
        <f t="shared" si="4"/>
        <v>INSERT INTO oecd_currencies (iso_country, country_name, iso_curry, curry_name) VALUES ('FM','MICRONESIA, FEDERATED STATES OF','USD','US Dollar');</v>
      </c>
      <c r="F146" s="11" t="str">
        <f t="shared" si="5"/>
        <v>INSERT INTO oecd_currencies (iso_country, country_name, iso_curry, curry_name) VALUES ('FM','MICRONESIA, FEDERATED STATES OF','USD','US Dollar');</v>
      </c>
    </row>
    <row r="147" spans="1:6" x14ac:dyDescent="0.25">
      <c r="A147" s="1" t="s">
        <v>471</v>
      </c>
      <c r="B147" s="2" t="s">
        <v>472</v>
      </c>
      <c r="C147" t="str">
        <f>VLOOKUP("*"&amp;B147&amp;"*",currCode_Type!A:C,2,FALSE)</f>
        <v>MDL</v>
      </c>
      <c r="D147" t="str">
        <f>VLOOKUP("*"&amp;B147&amp;"*",currCode_Type!A:C,3,FALSE)</f>
        <v>Moldovan Leu</v>
      </c>
      <c r="E147" s="9" t="str">
        <f t="shared" si="4"/>
        <v>INSERT INTO oecd_currencies (iso_country, country_name, iso_curry, curry_name) VALUES ('MD','MOLDOVA, REPUBLIC OF','MDL','Moldovan Leu');</v>
      </c>
      <c r="F147" s="11" t="str">
        <f t="shared" si="5"/>
        <v>INSERT INTO oecd_currencies (iso_country, country_name, iso_curry, curry_name) VALUES ('MD','MOLDOVA, REPUBLIC OF','MDL','Moldovan Leu');</v>
      </c>
    </row>
    <row r="148" spans="1:6" x14ac:dyDescent="0.25">
      <c r="A148" s="3" t="s">
        <v>473</v>
      </c>
      <c r="B148" s="4" t="s">
        <v>474</v>
      </c>
      <c r="C148" t="str">
        <f>VLOOKUP("*"&amp;B148&amp;"*",currCode_Type!A:C,2,FALSE)</f>
        <v>EUR</v>
      </c>
      <c r="D148" t="str">
        <f>VLOOKUP("*"&amp;B148&amp;"*",currCode_Type!A:C,3,FALSE)</f>
        <v>Euro</v>
      </c>
      <c r="E148" s="9" t="str">
        <f t="shared" si="4"/>
        <v>INSERT INTO oecd_currencies (iso_country, country_name, iso_curry, curry_name) VALUES ('MC','MONACO','EUR','Euro');</v>
      </c>
      <c r="F148" s="11" t="str">
        <f t="shared" si="5"/>
        <v>INSERT INTO oecd_currencies (iso_country, country_name, iso_curry, curry_name) VALUES ('MC','MONACO','EUR','Euro');</v>
      </c>
    </row>
    <row r="149" spans="1:6" x14ac:dyDescent="0.25">
      <c r="A149" s="1" t="s">
        <v>475</v>
      </c>
      <c r="B149" s="2" t="s">
        <v>476</v>
      </c>
      <c r="C149" t="str">
        <f>VLOOKUP("*"&amp;B149&amp;"*",currCode_Type!A:C,2,FALSE)</f>
        <v>MNT</v>
      </c>
      <c r="D149" t="str">
        <f>VLOOKUP("*"&amp;B149&amp;"*",currCode_Type!A:C,3,FALSE)</f>
        <v>Tugrik</v>
      </c>
      <c r="E149" s="9" t="str">
        <f t="shared" si="4"/>
        <v>INSERT INTO oecd_currencies (iso_country, country_name, iso_curry, curry_name) VALUES ('MN','MONGOLIA','MNT','Tugrik');</v>
      </c>
      <c r="F149" s="11" t="str">
        <f t="shared" si="5"/>
        <v>INSERT INTO oecd_currencies (iso_country, country_name, iso_curry, curry_name) VALUES ('MN','MONGOLIA','MNT','Tugrik');</v>
      </c>
    </row>
    <row r="150" spans="1:6" x14ac:dyDescent="0.25">
      <c r="A150" s="3" t="s">
        <v>477</v>
      </c>
      <c r="B150" s="4" t="s">
        <v>478</v>
      </c>
      <c r="C150" t="str">
        <f>VLOOKUP("*"&amp;B150&amp;"*",currCode_Type!A:C,2,FALSE)</f>
        <v>EUR</v>
      </c>
      <c r="D150" t="str">
        <f>VLOOKUP("*"&amp;B150&amp;"*",currCode_Type!A:C,3,FALSE)</f>
        <v>Euro</v>
      </c>
      <c r="E150" s="9" t="str">
        <f t="shared" si="4"/>
        <v>INSERT INTO oecd_currencies (iso_country, country_name, iso_curry, curry_name) VALUES ('ME','MONTENEGRO','EUR','Euro');</v>
      </c>
      <c r="F150" s="11" t="str">
        <f t="shared" si="5"/>
        <v>INSERT INTO oecd_currencies (iso_country, country_name, iso_curry, curry_name) VALUES ('ME','MONTENEGRO','EUR','Euro');</v>
      </c>
    </row>
    <row r="151" spans="1:6" x14ac:dyDescent="0.25">
      <c r="A151" s="1" t="s">
        <v>479</v>
      </c>
      <c r="B151" s="2" t="s">
        <v>480</v>
      </c>
      <c r="C151" t="str">
        <f>VLOOKUP("*"&amp;B151&amp;"*",currCode_Type!A:C,2,FALSE)</f>
        <v>XCD</v>
      </c>
      <c r="D151" t="str">
        <f>VLOOKUP("*"&amp;B151&amp;"*",currCode_Type!A:C,3,FALSE)</f>
        <v>East Caribbean Dollar</v>
      </c>
      <c r="E151" s="9" t="str">
        <f t="shared" si="4"/>
        <v>INSERT INTO oecd_currencies (iso_country, country_name, iso_curry, curry_name) VALUES ('MS','MONTSERRAT','XCD','East Caribbean Dollar');</v>
      </c>
      <c r="F151" s="11" t="str">
        <f t="shared" si="5"/>
        <v>INSERT INTO oecd_currencies (iso_country, country_name, iso_curry, curry_name) VALUES ('MS','MONTSERRAT','XCD','East Caribbean Dollar');</v>
      </c>
    </row>
    <row r="152" spans="1:6" x14ac:dyDescent="0.25">
      <c r="A152" s="3" t="s">
        <v>481</v>
      </c>
      <c r="B152" s="4" t="s">
        <v>482</v>
      </c>
      <c r="C152" t="str">
        <f>VLOOKUP("*"&amp;B152&amp;"*",currCode_Type!A:C,2,FALSE)</f>
        <v>MAD</v>
      </c>
      <c r="D152" t="str">
        <f>VLOOKUP("*"&amp;B152&amp;"*",currCode_Type!A:C,3,FALSE)</f>
        <v>Moroccan Dirham</v>
      </c>
      <c r="E152" s="9" t="str">
        <f t="shared" si="4"/>
        <v>INSERT INTO oecd_currencies (iso_country, country_name, iso_curry, curry_name) VALUES ('MA','MOROCCO','MAD','Moroccan Dirham');</v>
      </c>
      <c r="F152" s="11" t="str">
        <f t="shared" si="5"/>
        <v>INSERT INTO oecd_currencies (iso_country, country_name, iso_curry, curry_name) VALUES ('MA','MOROCCO','MAD','Moroccan Dirham');</v>
      </c>
    </row>
    <row r="153" spans="1:6" x14ac:dyDescent="0.25">
      <c r="A153" s="1" t="s">
        <v>483</v>
      </c>
      <c r="B153" s="2" t="s">
        <v>484</v>
      </c>
      <c r="C153" t="str">
        <f>VLOOKUP("*"&amp;B153&amp;"*",currCode_Type!A:C,2,FALSE)</f>
        <v>MZN</v>
      </c>
      <c r="D153" t="str">
        <f>VLOOKUP("*"&amp;B153&amp;"*",currCode_Type!A:C,3,FALSE)</f>
        <v>Mozambique Metical</v>
      </c>
      <c r="E153" s="9" t="str">
        <f t="shared" si="4"/>
        <v>INSERT INTO oecd_currencies (iso_country, country_name, iso_curry, curry_name) VALUES ('MZ','MOZAMBIQUE','MZN','Mozambique Metical');</v>
      </c>
      <c r="F153" s="11" t="str">
        <f t="shared" si="5"/>
        <v>INSERT INTO oecd_currencies (iso_country, country_name, iso_curry, curry_name) VALUES ('MZ','MOZAMBIQUE','MZN','Mozambique Metical');</v>
      </c>
    </row>
    <row r="154" spans="1:6" x14ac:dyDescent="0.25">
      <c r="A154" s="3" t="s">
        <v>485</v>
      </c>
      <c r="B154" s="4" t="s">
        <v>486</v>
      </c>
      <c r="C154" t="str">
        <f>VLOOKUP("*"&amp;B154&amp;"*",currCode_Type!A:C,2,FALSE)</f>
        <v>MMK</v>
      </c>
      <c r="D154" t="str">
        <f>VLOOKUP("*"&amp;B154&amp;"*",currCode_Type!A:C,3,FALSE)</f>
        <v>Kyat</v>
      </c>
      <c r="E154" s="9" t="str">
        <f t="shared" si="4"/>
        <v>INSERT INTO oecd_currencies (iso_country, country_name, iso_curry, curry_name) VALUES ('MM','MYANMAR','MMK','Kyat');</v>
      </c>
      <c r="F154" s="11" t="str">
        <f t="shared" si="5"/>
        <v>INSERT INTO oecd_currencies (iso_country, country_name, iso_curry, curry_name) VALUES ('MM','MYANMAR','MMK','Kyat');</v>
      </c>
    </row>
    <row r="155" spans="1:6" x14ac:dyDescent="0.25">
      <c r="A155" s="1" t="s">
        <v>487</v>
      </c>
      <c r="B155" s="2" t="s">
        <v>488</v>
      </c>
      <c r="C155" t="str">
        <f>VLOOKUP("*"&amp;B155&amp;"*",currCode_Type!A:C,2,FALSE)</f>
        <v>NAD</v>
      </c>
      <c r="D155" t="str">
        <f>VLOOKUP("*"&amp;B155&amp;"*",currCode_Type!A:C,3,FALSE)</f>
        <v>Namibia Dollar</v>
      </c>
      <c r="E155" s="9" t="str">
        <f t="shared" si="4"/>
        <v>INSERT INTO oecd_currencies (iso_country, country_name, iso_curry, curry_name) VALUES ('NA','NAMIBIA','NAD','Namibia Dollar');</v>
      </c>
      <c r="F155" s="11" t="str">
        <f t="shared" si="5"/>
        <v>INSERT INTO oecd_currencies (iso_country, country_name, iso_curry, curry_name) VALUES ('NA','NAMIBIA','NAD','Namibia Dollar');</v>
      </c>
    </row>
    <row r="156" spans="1:6" x14ac:dyDescent="0.25">
      <c r="A156" s="3" t="s">
        <v>489</v>
      </c>
      <c r="B156" s="4" t="s">
        <v>490</v>
      </c>
      <c r="C156" t="str">
        <f>VLOOKUP("*"&amp;B156&amp;"*",currCode_Type!A:C,2,FALSE)</f>
        <v>AUD</v>
      </c>
      <c r="D156" t="str">
        <f>VLOOKUP("*"&amp;B156&amp;"*",currCode_Type!A:C,3,FALSE)</f>
        <v>Australian Dollar</v>
      </c>
      <c r="E156" s="9" t="str">
        <f t="shared" si="4"/>
        <v>INSERT INTO oecd_currencies (iso_country, country_name, iso_curry, curry_name) VALUES ('NR','NAURU','AUD','Australian Dollar');</v>
      </c>
      <c r="F156" s="11" t="str">
        <f t="shared" si="5"/>
        <v>INSERT INTO oecd_currencies (iso_country, country_name, iso_curry, curry_name) VALUES ('NR','NAURU','AUD','Australian Dollar');</v>
      </c>
    </row>
    <row r="157" spans="1:6" x14ac:dyDescent="0.25">
      <c r="A157" s="1" t="s">
        <v>491</v>
      </c>
      <c r="B157" s="2" t="s">
        <v>492</v>
      </c>
      <c r="C157" t="str">
        <f>VLOOKUP("*"&amp;B157&amp;"*",currCode_Type!A:C,2,FALSE)</f>
        <v>NPR</v>
      </c>
      <c r="D157" t="str">
        <f>VLOOKUP("*"&amp;B157&amp;"*",currCode_Type!A:C,3,FALSE)</f>
        <v>Nepalese Rupee</v>
      </c>
      <c r="E157" s="9" t="str">
        <f t="shared" si="4"/>
        <v>INSERT INTO oecd_currencies (iso_country, country_name, iso_curry, curry_name) VALUES ('NP','NEPAL','NPR','Nepalese Rupee');</v>
      </c>
      <c r="F157" s="11" t="str">
        <f t="shared" si="5"/>
        <v>INSERT INTO oecd_currencies (iso_country, country_name, iso_curry, curry_name) VALUES ('NP','NEPAL','NPR','Nepalese Rupee');</v>
      </c>
    </row>
    <row r="158" spans="1:6" x14ac:dyDescent="0.25">
      <c r="A158" s="3" t="s">
        <v>493</v>
      </c>
      <c r="B158" s="4" t="s">
        <v>494</v>
      </c>
      <c r="C158" t="str">
        <f>VLOOKUP("*"&amp;B158&amp;"*",currCode_Type!A:C,2,FALSE)</f>
        <v>EUR</v>
      </c>
      <c r="D158" t="str">
        <f>VLOOKUP("*"&amp;B158&amp;"*",currCode_Type!A:C,3,FALSE)</f>
        <v>Euro</v>
      </c>
      <c r="E158" s="9" t="str">
        <f t="shared" si="4"/>
        <v>INSERT INTO oecd_currencies (iso_country, country_name, iso_curry, curry_name) VALUES ('NL','NETHERLANDS','EUR','Euro');</v>
      </c>
      <c r="F158" s="11" t="str">
        <f t="shared" si="5"/>
        <v>INSERT INTO oecd_currencies (iso_country, country_name, iso_curry, curry_name) VALUES ('NL','NETHERLANDS','EUR','Euro');</v>
      </c>
    </row>
    <row r="159" spans="1:6" x14ac:dyDescent="0.25">
      <c r="A159" s="1" t="s">
        <v>495</v>
      </c>
      <c r="B159" s="2" t="s">
        <v>496</v>
      </c>
      <c r="C159" t="str">
        <f>VLOOKUP("*"&amp;B159&amp;"*",currCode_Type!A:C,2,FALSE)</f>
        <v>XPF</v>
      </c>
      <c r="D159" t="str">
        <f>VLOOKUP("*"&amp;B159&amp;"*",currCode_Type!A:C,3,FALSE)</f>
        <v>CFP Franc</v>
      </c>
      <c r="E159" s="9" t="str">
        <f t="shared" si="4"/>
        <v>INSERT INTO oecd_currencies (iso_country, country_name, iso_curry, curry_name) VALUES ('NC','NEW CALEDONIA','XPF','CFP Franc');</v>
      </c>
      <c r="F159" s="11" t="str">
        <f t="shared" si="5"/>
        <v>INSERT INTO oecd_currencies (iso_country, country_name, iso_curry, curry_name) VALUES ('NC','NEW CALEDONIA','XPF','CFP Franc');</v>
      </c>
    </row>
    <row r="160" spans="1:6" x14ac:dyDescent="0.25">
      <c r="A160" s="3" t="s">
        <v>497</v>
      </c>
      <c r="B160" s="4" t="s">
        <v>498</v>
      </c>
      <c r="C160" t="str">
        <f>VLOOKUP("*"&amp;B160&amp;"*",currCode_Type!A:C,2,FALSE)</f>
        <v>NZD</v>
      </c>
      <c r="D160" t="str">
        <f>VLOOKUP("*"&amp;B160&amp;"*",currCode_Type!A:C,3,FALSE)</f>
        <v>New Zealand Dollar</v>
      </c>
      <c r="E160" s="9" t="str">
        <f t="shared" si="4"/>
        <v>INSERT INTO oecd_currencies (iso_country, country_name, iso_curry, curry_name) VALUES ('NZ','NEW ZEALAND','NZD','New Zealand Dollar');</v>
      </c>
      <c r="F160" s="11" t="str">
        <f t="shared" si="5"/>
        <v>INSERT INTO oecd_currencies (iso_country, country_name, iso_curry, curry_name) VALUES ('NZ','NEW ZEALAND','NZD','New Zealand Dollar');</v>
      </c>
    </row>
    <row r="161" spans="1:6" x14ac:dyDescent="0.25">
      <c r="A161" s="1" t="s">
        <v>499</v>
      </c>
      <c r="B161" s="2" t="s">
        <v>500</v>
      </c>
      <c r="C161" t="str">
        <f>VLOOKUP("*"&amp;B161&amp;"*",currCode_Type!A:C,2,FALSE)</f>
        <v>NIO</v>
      </c>
      <c r="D161" t="str">
        <f>VLOOKUP("*"&amp;B161&amp;"*",currCode_Type!A:C,3,FALSE)</f>
        <v>Cordoba Oro</v>
      </c>
      <c r="E161" s="9" t="str">
        <f t="shared" si="4"/>
        <v>INSERT INTO oecd_currencies (iso_country, country_name, iso_curry, curry_name) VALUES ('NI','NICARAGUA','NIO','Cordoba Oro');</v>
      </c>
      <c r="F161" s="11" t="str">
        <f t="shared" si="5"/>
        <v>INSERT INTO oecd_currencies (iso_country, country_name, iso_curry, curry_name) VALUES ('NI','NICARAGUA','NIO','Cordoba Oro');</v>
      </c>
    </row>
    <row r="162" spans="1:6" x14ac:dyDescent="0.25">
      <c r="A162" s="3" t="s">
        <v>501</v>
      </c>
      <c r="B162" s="4" t="s">
        <v>502</v>
      </c>
      <c r="C162" t="str">
        <f>VLOOKUP("*"&amp;B162&amp;"*",currCode_Type!A:C,2,FALSE)</f>
        <v>NGN</v>
      </c>
      <c r="D162" t="str">
        <f>VLOOKUP("*"&amp;B162&amp;"*",currCode_Type!A:C,3,FALSE)</f>
        <v>Naira</v>
      </c>
      <c r="E162" s="9" t="str">
        <f t="shared" si="4"/>
        <v>INSERT INTO oecd_currencies (iso_country, country_name, iso_curry, curry_name) VALUES ('NE','NIGER','NGN','Naira');</v>
      </c>
      <c r="F162" s="11" t="str">
        <f t="shared" si="5"/>
        <v>INSERT INTO oecd_currencies (iso_country, country_name, iso_curry, curry_name) VALUES ('NE','NIGER','NGN','Naira');</v>
      </c>
    </row>
    <row r="163" spans="1:6" x14ac:dyDescent="0.25">
      <c r="A163" s="1" t="s">
        <v>503</v>
      </c>
      <c r="B163" s="2" t="s">
        <v>504</v>
      </c>
      <c r="C163" t="str">
        <f>VLOOKUP("*"&amp;B163&amp;"*",currCode_Type!A:C,2,FALSE)</f>
        <v>NGN</v>
      </c>
      <c r="D163" t="str">
        <f>VLOOKUP("*"&amp;B163&amp;"*",currCode_Type!A:C,3,FALSE)</f>
        <v>Naira</v>
      </c>
      <c r="E163" s="9" t="str">
        <f t="shared" si="4"/>
        <v>INSERT INTO oecd_currencies (iso_country, country_name, iso_curry, curry_name) VALUES ('NG','NIGERIA','NGN','Naira');</v>
      </c>
      <c r="F163" s="11" t="str">
        <f t="shared" si="5"/>
        <v>INSERT INTO oecd_currencies (iso_country, country_name, iso_curry, curry_name) VALUES ('NG','NIGERIA','NGN','Naira');</v>
      </c>
    </row>
    <row r="164" spans="1:6" x14ac:dyDescent="0.25">
      <c r="A164" s="3" t="s">
        <v>505</v>
      </c>
      <c r="B164" s="4" t="s">
        <v>506</v>
      </c>
      <c r="C164" t="str">
        <f>VLOOKUP("*"&amp;B164&amp;"*",currCode_Type!A:C,2,FALSE)</f>
        <v>NZD</v>
      </c>
      <c r="D164" t="str">
        <f>VLOOKUP("*"&amp;B164&amp;"*",currCode_Type!A:C,3,FALSE)</f>
        <v>New Zealand Dollar</v>
      </c>
      <c r="E164" s="9" t="str">
        <f t="shared" si="4"/>
        <v>INSERT INTO oecd_currencies (iso_country, country_name, iso_curry, curry_name) VALUES ('NU','NIUE','NZD','New Zealand Dollar');</v>
      </c>
      <c r="F164" s="11" t="str">
        <f t="shared" si="5"/>
        <v>INSERT INTO oecd_currencies (iso_country, country_name, iso_curry, curry_name) VALUES ('NU','NIUE','NZD','New Zealand Dollar');</v>
      </c>
    </row>
    <row r="165" spans="1:6" x14ac:dyDescent="0.25">
      <c r="A165" s="1" t="s">
        <v>507</v>
      </c>
      <c r="B165" s="2" t="s">
        <v>508</v>
      </c>
      <c r="C165" t="str">
        <f>VLOOKUP("*"&amp;B165&amp;"*",currCode_Type!A:C,2,FALSE)</f>
        <v>AUD</v>
      </c>
      <c r="D165" t="str">
        <f>VLOOKUP("*"&amp;B165&amp;"*",currCode_Type!A:C,3,FALSE)</f>
        <v>Australian Dollar</v>
      </c>
      <c r="E165" s="9" t="str">
        <f t="shared" si="4"/>
        <v>INSERT INTO oecd_currencies (iso_country, country_name, iso_curry, curry_name) VALUES ('NF','NORFOLK ISLAND','AUD','Australian Dollar');</v>
      </c>
      <c r="F165" s="11" t="str">
        <f t="shared" si="5"/>
        <v>INSERT INTO oecd_currencies (iso_country, country_name, iso_curry, curry_name) VALUES ('NF','NORFOLK ISLAND','AUD','Australian Dollar');</v>
      </c>
    </row>
    <row r="166" spans="1:6" x14ac:dyDescent="0.25">
      <c r="A166" s="3" t="s">
        <v>509</v>
      </c>
      <c r="B166" s="4" t="s">
        <v>510</v>
      </c>
      <c r="C166" t="str">
        <f>VLOOKUP("*"&amp;B166&amp;"*",currCode_Type!A:C,2,FALSE)</f>
        <v>USD</v>
      </c>
      <c r="D166" t="str">
        <f>VLOOKUP("*"&amp;B166&amp;"*",currCode_Type!A:C,3,FALSE)</f>
        <v>US Dollar</v>
      </c>
      <c r="E166" s="9" t="str">
        <f t="shared" si="4"/>
        <v>INSERT INTO oecd_currencies (iso_country, country_name, iso_curry, curry_name) VALUES ('MP','NORTHERN MARIANA ISLANDS','USD','US Dollar');</v>
      </c>
      <c r="F166" s="11" t="str">
        <f t="shared" si="5"/>
        <v>INSERT INTO oecd_currencies (iso_country, country_name, iso_curry, curry_name) VALUES ('MP','NORTHERN MARIANA ISLANDS','USD','US Dollar');</v>
      </c>
    </row>
    <row r="167" spans="1:6" x14ac:dyDescent="0.25">
      <c r="A167" s="1" t="s">
        <v>511</v>
      </c>
      <c r="B167" s="2" t="s">
        <v>512</v>
      </c>
      <c r="C167" t="str">
        <f>VLOOKUP("*"&amp;B167&amp;"*",currCode_Type!A:C,2,FALSE)</f>
        <v>NOK</v>
      </c>
      <c r="D167" t="str">
        <f>VLOOKUP("*"&amp;B167&amp;"*",currCode_Type!A:C,3,FALSE)</f>
        <v>Norwegian Krone</v>
      </c>
      <c r="E167" s="9" t="str">
        <f t="shared" si="4"/>
        <v>INSERT INTO oecd_currencies (iso_country, country_name, iso_curry, curry_name) VALUES ('NO','NORWAY','NOK','Norwegian Krone');</v>
      </c>
      <c r="F167" s="11" t="str">
        <f t="shared" si="5"/>
        <v>INSERT INTO oecd_currencies (iso_country, country_name, iso_curry, curry_name) VALUES ('NO','NORWAY','NOK','Norwegian Krone');</v>
      </c>
    </row>
    <row r="168" spans="1:6" x14ac:dyDescent="0.25">
      <c r="A168" s="3" t="s">
        <v>513</v>
      </c>
      <c r="B168" s="4" t="s">
        <v>514</v>
      </c>
      <c r="C168" t="str">
        <f>VLOOKUP("*"&amp;B168&amp;"*",currCode_Type!A:C,2,FALSE)</f>
        <v>OMR</v>
      </c>
      <c r="D168" t="str">
        <f>VLOOKUP("*"&amp;B168&amp;"*",currCode_Type!A:C,3,FALSE)</f>
        <v>Rial Omani</v>
      </c>
      <c r="E168" s="9" t="str">
        <f t="shared" si="4"/>
        <v>INSERT INTO oecd_currencies (iso_country, country_name, iso_curry, curry_name) VALUES ('OM','OMAN','OMR','Rial Omani');</v>
      </c>
      <c r="F168" s="11" t="str">
        <f t="shared" si="5"/>
        <v>INSERT INTO oecd_currencies (iso_country, country_name, iso_curry, curry_name) VALUES ('OM','OMAN','OMR','Rial Omani');</v>
      </c>
    </row>
    <row r="169" spans="1:6" x14ac:dyDescent="0.25">
      <c r="A169" s="1" t="s">
        <v>515</v>
      </c>
      <c r="B169" s="2" t="s">
        <v>516</v>
      </c>
      <c r="C169" t="str">
        <f>VLOOKUP("*"&amp;B169&amp;"*",currCode_Type!A:C,2,FALSE)</f>
        <v>PKR</v>
      </c>
      <c r="D169" t="str">
        <f>VLOOKUP("*"&amp;B169&amp;"*",currCode_Type!A:C,3,FALSE)</f>
        <v>Pakistan Rupee</v>
      </c>
      <c r="E169" s="9" t="str">
        <f t="shared" si="4"/>
        <v>INSERT INTO oecd_currencies (iso_country, country_name, iso_curry, curry_name) VALUES ('PK','PAKISTAN','PKR','Pakistan Rupee');</v>
      </c>
      <c r="F169" s="11" t="str">
        <f t="shared" si="5"/>
        <v>INSERT INTO oecd_currencies (iso_country, country_name, iso_curry, curry_name) VALUES ('PK','PAKISTAN','PKR','Pakistan Rupee');</v>
      </c>
    </row>
    <row r="170" spans="1:6" x14ac:dyDescent="0.25">
      <c r="A170" s="3" t="s">
        <v>517</v>
      </c>
      <c r="B170" s="4" t="s">
        <v>518</v>
      </c>
      <c r="C170" t="str">
        <f>VLOOKUP("*"&amp;B170&amp;"*",currCode_Type!A:C,2,FALSE)</f>
        <v>USD</v>
      </c>
      <c r="D170" t="str">
        <f>VLOOKUP("*"&amp;B170&amp;"*",currCode_Type!A:C,3,FALSE)</f>
        <v>US Dollar</v>
      </c>
      <c r="E170" s="9" t="str">
        <f t="shared" si="4"/>
        <v>INSERT INTO oecd_currencies (iso_country, country_name, iso_curry, curry_name) VALUES ('PW','PALAU','USD','US Dollar');</v>
      </c>
      <c r="F170" s="11" t="str">
        <f t="shared" si="5"/>
        <v>INSERT INTO oecd_currencies (iso_country, country_name, iso_curry, curry_name) VALUES ('PW','PALAU','USD','US Dollar');</v>
      </c>
    </row>
    <row r="171" spans="1:6" x14ac:dyDescent="0.25">
      <c r="A171" s="1" t="s">
        <v>519</v>
      </c>
      <c r="B171" s="2" t="s">
        <v>520</v>
      </c>
      <c r="C171" t="e">
        <f>VLOOKUP("*"&amp;B171&amp;"*",currCode_Type!A:C,2,FALSE)</f>
        <v>#N/A</v>
      </c>
      <c r="D171" t="e">
        <f>VLOOKUP("*"&amp;B171&amp;"*",currCode_Type!A:C,3,FALSE)</f>
        <v>#N/A</v>
      </c>
      <c r="E171" s="9" t="e">
        <f t="shared" si="4"/>
        <v>#N/A</v>
      </c>
      <c r="F171" s="11" t="e">
        <f t="shared" si="5"/>
        <v>#N/A</v>
      </c>
    </row>
    <row r="172" spans="1:6" x14ac:dyDescent="0.25">
      <c r="A172" s="3" t="s">
        <v>521</v>
      </c>
      <c r="B172" s="4" t="s">
        <v>522</v>
      </c>
      <c r="C172" t="str">
        <f>VLOOKUP("*"&amp;B172&amp;"*",currCode_Type!A:C,2,FALSE)</f>
        <v>PAB</v>
      </c>
      <c r="D172" t="str">
        <f>VLOOKUP("*"&amp;B172&amp;"*",currCode_Type!A:C,3,FALSE)</f>
        <v>Balboa</v>
      </c>
      <c r="E172" s="9" t="str">
        <f t="shared" si="4"/>
        <v>INSERT INTO oecd_currencies (iso_country, country_name, iso_curry, curry_name) VALUES ('PA','PANAMA','PAB','Balboa');</v>
      </c>
      <c r="F172" s="11" t="str">
        <f t="shared" si="5"/>
        <v>INSERT INTO oecd_currencies (iso_country, country_name, iso_curry, curry_name) VALUES ('PA','PANAMA','PAB','Balboa');</v>
      </c>
    </row>
    <row r="173" spans="1:6" x14ac:dyDescent="0.25">
      <c r="A173" s="1" t="s">
        <v>523</v>
      </c>
      <c r="B173" s="2" t="s">
        <v>524</v>
      </c>
      <c r="C173" t="str">
        <f>VLOOKUP("*"&amp;B173&amp;"*",currCode_Type!A:C,2,FALSE)</f>
        <v>PGK</v>
      </c>
      <c r="D173" t="str">
        <f>VLOOKUP("*"&amp;B173&amp;"*",currCode_Type!A:C,3,FALSE)</f>
        <v>Kina</v>
      </c>
      <c r="E173" s="9" t="str">
        <f t="shared" si="4"/>
        <v>INSERT INTO oecd_currencies (iso_country, country_name, iso_curry, curry_name) VALUES ('PG','PAPUA NEW GUINEA','PGK','Kina');</v>
      </c>
      <c r="F173" s="11" t="str">
        <f t="shared" si="5"/>
        <v>INSERT INTO oecd_currencies (iso_country, country_name, iso_curry, curry_name) VALUES ('PG','PAPUA NEW GUINEA','PGK','Kina');</v>
      </c>
    </row>
    <row r="174" spans="1:6" x14ac:dyDescent="0.25">
      <c r="A174" s="3" t="s">
        <v>525</v>
      </c>
      <c r="B174" s="4" t="s">
        <v>526</v>
      </c>
      <c r="C174" t="str">
        <f>VLOOKUP("*"&amp;B174&amp;"*",currCode_Type!A:C,2,FALSE)</f>
        <v>PYG</v>
      </c>
      <c r="D174" t="str">
        <f>VLOOKUP("*"&amp;B174&amp;"*",currCode_Type!A:C,3,FALSE)</f>
        <v>Guarani</v>
      </c>
      <c r="E174" s="9" t="str">
        <f t="shared" si="4"/>
        <v>INSERT INTO oecd_currencies (iso_country, country_name, iso_curry, curry_name) VALUES ('PY','PARAGUAY','PYG','Guarani');</v>
      </c>
      <c r="F174" s="11" t="str">
        <f t="shared" si="5"/>
        <v>INSERT INTO oecd_currencies (iso_country, country_name, iso_curry, curry_name) VALUES ('PY','PARAGUAY','PYG','Guarani');</v>
      </c>
    </row>
    <row r="175" spans="1:6" x14ac:dyDescent="0.25">
      <c r="A175" s="1" t="s">
        <v>527</v>
      </c>
      <c r="B175" s="2" t="s">
        <v>528</v>
      </c>
      <c r="C175" t="str">
        <f>VLOOKUP("*"&amp;B175&amp;"*",currCode_Type!A:C,2,FALSE)</f>
        <v>PEN</v>
      </c>
      <c r="D175" t="str">
        <f>VLOOKUP("*"&amp;B175&amp;"*",currCode_Type!A:C,3,FALSE)</f>
        <v>Nuevo Sol</v>
      </c>
      <c r="E175" s="9" t="str">
        <f t="shared" si="4"/>
        <v>INSERT INTO oecd_currencies (iso_country, country_name, iso_curry, curry_name) VALUES ('PE','PERU','PEN','Nuevo Sol');</v>
      </c>
      <c r="F175" s="11" t="str">
        <f t="shared" si="5"/>
        <v>INSERT INTO oecd_currencies (iso_country, country_name, iso_curry, curry_name) VALUES ('PE','PERU','PEN','Nuevo Sol');</v>
      </c>
    </row>
    <row r="176" spans="1:6" x14ac:dyDescent="0.25">
      <c r="A176" s="3" t="s">
        <v>529</v>
      </c>
      <c r="B176" s="4" t="s">
        <v>530</v>
      </c>
      <c r="C176" t="str">
        <f>VLOOKUP("*"&amp;B176&amp;"*",currCode_Type!A:C,2,FALSE)</f>
        <v>PHP</v>
      </c>
      <c r="D176" t="str">
        <f>VLOOKUP("*"&amp;B176&amp;"*",currCode_Type!A:C,3,FALSE)</f>
        <v>Philippine Peso</v>
      </c>
      <c r="E176" s="9" t="str">
        <f t="shared" si="4"/>
        <v>INSERT INTO oecd_currencies (iso_country, country_name, iso_curry, curry_name) VALUES ('PH','PHILIPPINES','PHP','Philippine Peso');</v>
      </c>
      <c r="F176" s="11" t="str">
        <f t="shared" si="5"/>
        <v>INSERT INTO oecd_currencies (iso_country, country_name, iso_curry, curry_name) VALUES ('PH','PHILIPPINES','PHP','Philippine Peso');</v>
      </c>
    </row>
    <row r="177" spans="1:6" x14ac:dyDescent="0.25">
      <c r="A177" s="1" t="s">
        <v>531</v>
      </c>
      <c r="B177" s="2" t="s">
        <v>532</v>
      </c>
      <c r="C177" t="str">
        <f>VLOOKUP("*"&amp;B177&amp;"*",currCode_Type!A:C,2,FALSE)</f>
        <v>NZD</v>
      </c>
      <c r="D177" t="str">
        <f>VLOOKUP("*"&amp;B177&amp;"*",currCode_Type!A:C,3,FALSE)</f>
        <v>New Zealand Dollar</v>
      </c>
      <c r="E177" s="9" t="str">
        <f t="shared" si="4"/>
        <v>INSERT INTO oecd_currencies (iso_country, country_name, iso_curry, curry_name) VALUES ('PN','PITCAIRN','NZD','New Zealand Dollar');</v>
      </c>
      <c r="F177" s="11" t="str">
        <f t="shared" si="5"/>
        <v>INSERT INTO oecd_currencies (iso_country, country_name, iso_curry, curry_name) VALUES ('PN','PITCAIRN','NZD','New Zealand Dollar');</v>
      </c>
    </row>
    <row r="178" spans="1:6" x14ac:dyDescent="0.25">
      <c r="A178" s="3" t="s">
        <v>533</v>
      </c>
      <c r="B178" s="4" t="s">
        <v>534</v>
      </c>
      <c r="C178" t="str">
        <f>VLOOKUP("*"&amp;B178&amp;"*",currCode_Type!A:C,2,FALSE)</f>
        <v>PLN</v>
      </c>
      <c r="D178" t="str">
        <f>VLOOKUP("*"&amp;B178&amp;"*",currCode_Type!A:C,3,FALSE)</f>
        <v>Zloty</v>
      </c>
      <c r="E178" s="9" t="str">
        <f t="shared" si="4"/>
        <v>INSERT INTO oecd_currencies (iso_country, country_name, iso_curry, curry_name) VALUES ('PL','POLAND','PLN','Zloty');</v>
      </c>
      <c r="F178" s="11" t="str">
        <f t="shared" si="5"/>
        <v>INSERT INTO oecd_currencies (iso_country, country_name, iso_curry, curry_name) VALUES ('PL','POLAND','PLN','Zloty');</v>
      </c>
    </row>
    <row r="179" spans="1:6" x14ac:dyDescent="0.25">
      <c r="A179" s="1" t="s">
        <v>535</v>
      </c>
      <c r="B179" s="2" t="s">
        <v>536</v>
      </c>
      <c r="C179" t="str">
        <f>VLOOKUP("*"&amp;B179&amp;"*",currCode_Type!A:C,2,FALSE)</f>
        <v>EUR</v>
      </c>
      <c r="D179" t="str">
        <f>VLOOKUP("*"&amp;B179&amp;"*",currCode_Type!A:C,3,FALSE)</f>
        <v>Euro</v>
      </c>
      <c r="E179" s="9" t="str">
        <f t="shared" si="4"/>
        <v>INSERT INTO oecd_currencies (iso_country, country_name, iso_curry, curry_name) VALUES ('PT','PORTUGAL','EUR','Euro');</v>
      </c>
      <c r="F179" s="11" t="str">
        <f t="shared" si="5"/>
        <v>INSERT INTO oecd_currencies (iso_country, country_name, iso_curry, curry_name) VALUES ('PT','PORTUGAL','EUR','Euro');</v>
      </c>
    </row>
    <row r="180" spans="1:6" x14ac:dyDescent="0.25">
      <c r="A180" s="3" t="s">
        <v>537</v>
      </c>
      <c r="B180" s="4" t="s">
        <v>538</v>
      </c>
      <c r="C180" t="str">
        <f>VLOOKUP("*"&amp;B180&amp;"*",currCode_Type!A:C,2,FALSE)</f>
        <v>USD</v>
      </c>
      <c r="D180" t="str">
        <f>VLOOKUP("*"&amp;B180&amp;"*",currCode_Type!A:C,3,FALSE)</f>
        <v>US Dollar</v>
      </c>
      <c r="E180" s="9" t="str">
        <f t="shared" si="4"/>
        <v>INSERT INTO oecd_currencies (iso_country, country_name, iso_curry, curry_name) VALUES ('PR','PUERTO RICO','USD','US Dollar');</v>
      </c>
      <c r="F180" s="11" t="str">
        <f t="shared" si="5"/>
        <v>INSERT INTO oecd_currencies (iso_country, country_name, iso_curry, curry_name) VALUES ('PR','PUERTO RICO','USD','US Dollar');</v>
      </c>
    </row>
    <row r="181" spans="1:6" x14ac:dyDescent="0.25">
      <c r="A181" s="1" t="s">
        <v>539</v>
      </c>
      <c r="B181" s="2" t="s">
        <v>540</v>
      </c>
      <c r="C181" t="str">
        <f>VLOOKUP("*"&amp;B181&amp;"*",currCode_Type!A:C,2,FALSE)</f>
        <v>QAR</v>
      </c>
      <c r="D181" t="str">
        <f>VLOOKUP("*"&amp;B181&amp;"*",currCode_Type!A:C,3,FALSE)</f>
        <v>Qatari Rial</v>
      </c>
      <c r="E181" s="9" t="str">
        <f t="shared" si="4"/>
        <v>INSERT INTO oecd_currencies (iso_country, country_name, iso_curry, curry_name) VALUES ('QA','QATAR','QAR','Qatari Rial');</v>
      </c>
      <c r="F181" s="11" t="str">
        <f t="shared" si="5"/>
        <v>INSERT INTO oecd_currencies (iso_country, country_name, iso_curry, curry_name) VALUES ('QA','QATAR','QAR','Qatari Rial');</v>
      </c>
    </row>
    <row r="182" spans="1:6" x14ac:dyDescent="0.25">
      <c r="A182" s="3" t="s">
        <v>541</v>
      </c>
      <c r="B182" s="4" t="s">
        <v>542</v>
      </c>
      <c r="C182" t="str">
        <f>VLOOKUP("*"&amp;B182&amp;"*",currCode_Type!A:C,2,FALSE)</f>
        <v>EUR</v>
      </c>
      <c r="D182" t="str">
        <f>VLOOKUP("*"&amp;B182&amp;"*",currCode_Type!A:C,3,FALSE)</f>
        <v>Euro</v>
      </c>
      <c r="E182" s="9" t="str">
        <f t="shared" si="4"/>
        <v>INSERT INTO oecd_currencies (iso_country, country_name, iso_curry, curry_name) VALUES ('RE','REUNION','EUR','Euro');</v>
      </c>
      <c r="F182" s="11" t="str">
        <f t="shared" si="5"/>
        <v>INSERT INTO oecd_currencies (iso_country, country_name, iso_curry, curry_name) VALUES ('RE','REUNION','EUR','Euro');</v>
      </c>
    </row>
    <row r="183" spans="1:6" x14ac:dyDescent="0.25">
      <c r="A183" s="1" t="s">
        <v>543</v>
      </c>
      <c r="B183" s="2" t="s">
        <v>544</v>
      </c>
      <c r="C183" t="str">
        <f>VLOOKUP("*"&amp;B183&amp;"*",currCode_Type!A:C,2,FALSE)</f>
        <v>RON</v>
      </c>
      <c r="D183" t="str">
        <f>VLOOKUP("*"&amp;B183&amp;"*",currCode_Type!A:C,3,FALSE)</f>
        <v>New Romanian Leu</v>
      </c>
      <c r="E183" s="9" t="str">
        <f t="shared" si="4"/>
        <v>INSERT INTO oecd_currencies (iso_country, country_name, iso_curry, curry_name) VALUES ('RO','ROMANIA','RON','New Romanian Leu');</v>
      </c>
      <c r="F183" s="11" t="str">
        <f t="shared" si="5"/>
        <v>INSERT INTO oecd_currencies (iso_country, country_name, iso_curry, curry_name) VALUES ('RO','ROMANIA','RON','New Romanian Leu');</v>
      </c>
    </row>
    <row r="184" spans="1:6" x14ac:dyDescent="0.25">
      <c r="A184" s="3" t="s">
        <v>545</v>
      </c>
      <c r="B184" s="4" t="s">
        <v>546</v>
      </c>
      <c r="C184" t="str">
        <f>VLOOKUP("*"&amp;B184&amp;"*",currCode_Type!A:C,2,FALSE)</f>
        <v>RUB</v>
      </c>
      <c r="D184" t="str">
        <f>VLOOKUP("*"&amp;B184&amp;"*",currCode_Type!A:C,3,FALSE)</f>
        <v>Russian Ruble</v>
      </c>
      <c r="E184" s="9" t="str">
        <f t="shared" si="4"/>
        <v>INSERT INTO oecd_currencies (iso_country, country_name, iso_curry, curry_name) VALUES ('RU','RUSSIAN FEDERATION','RUB','Russian Ruble');</v>
      </c>
      <c r="F184" s="11" t="str">
        <f t="shared" si="5"/>
        <v>INSERT INTO oecd_currencies (iso_country, country_name, iso_curry, curry_name) VALUES ('RU','RUSSIAN FEDERATION','RUB','Russian Ruble');</v>
      </c>
    </row>
    <row r="185" spans="1:6" x14ac:dyDescent="0.25">
      <c r="A185" s="1" t="s">
        <v>547</v>
      </c>
      <c r="B185" s="2" t="s">
        <v>548</v>
      </c>
      <c r="C185" t="str">
        <f>VLOOKUP("*"&amp;B185&amp;"*",currCode_Type!A:C,2,FALSE)</f>
        <v>RWF</v>
      </c>
      <c r="D185" t="str">
        <f>VLOOKUP("*"&amp;B185&amp;"*",currCode_Type!A:C,3,FALSE)</f>
        <v>Rwanda Franc</v>
      </c>
      <c r="E185" s="9" t="str">
        <f t="shared" si="4"/>
        <v>INSERT INTO oecd_currencies (iso_country, country_name, iso_curry, curry_name) VALUES ('RW','RWANDA','RWF','Rwanda Franc');</v>
      </c>
      <c r="F185" s="11" t="str">
        <f t="shared" si="5"/>
        <v>INSERT INTO oecd_currencies (iso_country, country_name, iso_curry, curry_name) VALUES ('RW','RWANDA','RWF','Rwanda Franc');</v>
      </c>
    </row>
    <row r="186" spans="1:6" x14ac:dyDescent="0.25">
      <c r="A186" s="3" t="s">
        <v>549</v>
      </c>
      <c r="B186" s="4" t="s">
        <v>550</v>
      </c>
      <c r="C186" t="str">
        <f>VLOOKUP("*"&amp;B186&amp;"*",currCode_Type!A:C,2,FALSE)</f>
        <v>EUR</v>
      </c>
      <c r="D186" t="str">
        <f>VLOOKUP("*"&amp;B186&amp;"*",currCode_Type!A:C,3,FALSE)</f>
        <v>Euro</v>
      </c>
      <c r="E186" s="9" t="str">
        <f t="shared" si="4"/>
        <v>INSERT INTO oecd_currencies (iso_country, country_name, iso_curry, curry_name) VALUES ('BL','SAINT BARTHELEMY','EUR','Euro');</v>
      </c>
      <c r="F186" s="11" t="str">
        <f t="shared" si="5"/>
        <v>INSERT INTO oecd_currencies (iso_country, country_name, iso_curry, curry_name) VALUES ('BL','SAINT BARTHELEMY','EUR','Euro');</v>
      </c>
    </row>
    <row r="187" spans="1:6" x14ac:dyDescent="0.25">
      <c r="A187" s="1" t="s">
        <v>551</v>
      </c>
      <c r="B187" s="2" t="s">
        <v>552</v>
      </c>
      <c r="C187" t="str">
        <f>VLOOKUP("*"&amp;B187&amp;"*",currCode_Type!A:C,2,FALSE)</f>
        <v>SHP</v>
      </c>
      <c r="D187" t="str">
        <f>VLOOKUP("*"&amp;B187&amp;"*",currCode_Type!A:C,3,FALSE)</f>
        <v>Saint Helena Pound</v>
      </c>
      <c r="E187" s="9" t="str">
        <f t="shared" si="4"/>
        <v>INSERT INTO oecd_currencies (iso_country, country_name, iso_curry, curry_name) VALUES ('SH','SAINT HELENA, ASCENSION AND TRISTAN DA CUNHA','SHP','Saint Helena Pound');</v>
      </c>
      <c r="F187" s="11" t="str">
        <f t="shared" si="5"/>
        <v>INSERT INTO oecd_currencies (iso_country, country_name, iso_curry, curry_name) VALUES ('SH','SAINT HELENA, ASCENSION AND TRISTAN DA CUNHA','SHP','Saint Helena Pound');</v>
      </c>
    </row>
    <row r="188" spans="1:6" x14ac:dyDescent="0.25">
      <c r="A188" s="3" t="s">
        <v>553</v>
      </c>
      <c r="B188" s="4" t="s">
        <v>554</v>
      </c>
      <c r="C188" t="str">
        <f>VLOOKUP("*"&amp;B188&amp;"*",currCode_Type!A:C,2,FALSE)</f>
        <v>XCD</v>
      </c>
      <c r="D188" t="str">
        <f>VLOOKUP("*"&amp;B188&amp;"*",currCode_Type!A:C,3,FALSE)</f>
        <v>East Caribbean Dollar</v>
      </c>
      <c r="E188" s="9" t="str">
        <f t="shared" si="4"/>
        <v>INSERT INTO oecd_currencies (iso_country, country_name, iso_curry, curry_name) VALUES ('KN','SAINT KITTS AND NEVIS','XCD','East Caribbean Dollar');</v>
      </c>
      <c r="F188" s="11" t="str">
        <f t="shared" si="5"/>
        <v>INSERT INTO oecd_currencies (iso_country, country_name, iso_curry, curry_name) VALUES ('KN','SAINT KITTS AND NEVIS','XCD','East Caribbean Dollar');</v>
      </c>
    </row>
    <row r="189" spans="1:6" x14ac:dyDescent="0.25">
      <c r="A189" s="1" t="s">
        <v>555</v>
      </c>
      <c r="B189" s="2" t="s">
        <v>556</v>
      </c>
      <c r="C189" t="str">
        <f>VLOOKUP("*"&amp;B189&amp;"*",currCode_Type!A:C,2,FALSE)</f>
        <v>XCD</v>
      </c>
      <c r="D189" t="str">
        <f>VLOOKUP("*"&amp;B189&amp;"*",currCode_Type!A:C,3,FALSE)</f>
        <v>East Caribbean Dollar</v>
      </c>
      <c r="E189" s="9" t="str">
        <f t="shared" si="4"/>
        <v>INSERT INTO oecd_currencies (iso_country, country_name, iso_curry, curry_name) VALUES ('LC','SAINT LUCIA','XCD','East Caribbean Dollar');</v>
      </c>
      <c r="F189" s="11" t="str">
        <f t="shared" si="5"/>
        <v>INSERT INTO oecd_currencies (iso_country, country_name, iso_curry, curry_name) VALUES ('LC','SAINT LUCIA','XCD','East Caribbean Dollar');</v>
      </c>
    </row>
    <row r="190" spans="1:6" x14ac:dyDescent="0.25">
      <c r="A190" s="3" t="s">
        <v>557</v>
      </c>
      <c r="B190" s="4" t="s">
        <v>558</v>
      </c>
      <c r="C190" t="str">
        <f>VLOOKUP("*"&amp;B190&amp;"*",currCode_Type!A:C,2,FALSE)</f>
        <v>EUR</v>
      </c>
      <c r="D190" t="str">
        <f>VLOOKUP("*"&amp;B190&amp;"*",currCode_Type!A:C,3,FALSE)</f>
        <v>Euro</v>
      </c>
      <c r="E190" s="9" t="str">
        <f t="shared" si="4"/>
        <v>INSERT INTO oecd_currencies (iso_country, country_name, iso_curry, curry_name) VALUES ('MF','SAINT MARTIN (FRENCH PART)','EUR','Euro');</v>
      </c>
      <c r="F190" s="11" t="str">
        <f t="shared" si="5"/>
        <v>INSERT INTO oecd_currencies (iso_country, country_name, iso_curry, curry_name) VALUES ('MF','SAINT MARTIN (FRENCH PART)','EUR','Euro');</v>
      </c>
    </row>
    <row r="191" spans="1:6" x14ac:dyDescent="0.25">
      <c r="A191" s="1" t="s">
        <v>559</v>
      </c>
      <c r="B191" s="2" t="s">
        <v>560</v>
      </c>
      <c r="C191" t="str">
        <f>VLOOKUP("*"&amp;B191&amp;"*",currCode_Type!A:C,2,FALSE)</f>
        <v>EUR</v>
      </c>
      <c r="D191" t="str">
        <f>VLOOKUP("*"&amp;B191&amp;"*",currCode_Type!A:C,3,FALSE)</f>
        <v>Euro</v>
      </c>
      <c r="E191" s="9" t="str">
        <f t="shared" si="4"/>
        <v>INSERT INTO oecd_currencies (iso_country, country_name, iso_curry, curry_name) VALUES ('PM','SAINT PIERRE AND MIQUELON','EUR','Euro');</v>
      </c>
      <c r="F191" s="11" t="str">
        <f t="shared" si="5"/>
        <v>INSERT INTO oecd_currencies (iso_country, country_name, iso_curry, curry_name) VALUES ('PM','SAINT PIERRE AND MIQUELON','EUR','Euro');</v>
      </c>
    </row>
    <row r="192" spans="1:6" x14ac:dyDescent="0.25">
      <c r="A192" s="3" t="s">
        <v>561</v>
      </c>
      <c r="B192" s="4" t="s">
        <v>562</v>
      </c>
      <c r="C192" t="str">
        <f>VLOOKUP("*"&amp;B192&amp;"*",currCode_Type!A:C,2,FALSE)</f>
        <v>XCD</v>
      </c>
      <c r="D192" t="str">
        <f>VLOOKUP("*"&amp;B192&amp;"*",currCode_Type!A:C,3,FALSE)</f>
        <v>East Caribbean Dollar</v>
      </c>
      <c r="E192" s="9" t="str">
        <f t="shared" si="4"/>
        <v>INSERT INTO oecd_currencies (iso_country, country_name, iso_curry, curry_name) VALUES ('VC','SAINT VINCENT AND THE GRENADINES','XCD','East Caribbean Dollar');</v>
      </c>
      <c r="F192" s="11" t="str">
        <f t="shared" si="5"/>
        <v>INSERT INTO oecd_currencies (iso_country, country_name, iso_curry, curry_name) VALUES ('VC','SAINT VINCENT AND THE GRENADINES','XCD','East Caribbean Dollar');</v>
      </c>
    </row>
    <row r="193" spans="1:6" x14ac:dyDescent="0.25">
      <c r="A193" s="1" t="s">
        <v>563</v>
      </c>
      <c r="B193" s="2" t="s">
        <v>564</v>
      </c>
      <c r="C193" t="str">
        <f>VLOOKUP("*"&amp;B193&amp;"*",currCode_Type!A:C,2,FALSE)</f>
        <v>USD</v>
      </c>
      <c r="D193" t="str">
        <f>VLOOKUP("*"&amp;B193&amp;"*",currCode_Type!A:C,3,FALSE)</f>
        <v>US Dollar</v>
      </c>
      <c r="E193" s="9" t="str">
        <f t="shared" si="4"/>
        <v>INSERT INTO oecd_currencies (iso_country, country_name, iso_curry, curry_name) VALUES ('WS','SAMOA','USD','US Dollar');</v>
      </c>
      <c r="F193" s="11" t="str">
        <f t="shared" si="5"/>
        <v>INSERT INTO oecd_currencies (iso_country, country_name, iso_curry, curry_name) VALUES ('WS','SAMOA','USD','US Dollar');</v>
      </c>
    </row>
    <row r="194" spans="1:6" x14ac:dyDescent="0.25">
      <c r="A194" s="3" t="s">
        <v>565</v>
      </c>
      <c r="B194" s="4" t="s">
        <v>566</v>
      </c>
      <c r="C194" t="str">
        <f>VLOOKUP("*"&amp;B194&amp;"*",currCode_Type!A:C,2,FALSE)</f>
        <v>EUR</v>
      </c>
      <c r="D194" t="str">
        <f>VLOOKUP("*"&amp;B194&amp;"*",currCode_Type!A:C,3,FALSE)</f>
        <v>Euro</v>
      </c>
      <c r="E194" s="9" t="str">
        <f t="shared" si="4"/>
        <v>INSERT INTO oecd_currencies (iso_country, country_name, iso_curry, curry_name) VALUES ('SM','SAN MARINO','EUR','Euro');</v>
      </c>
      <c r="F194" s="11" t="str">
        <f t="shared" si="5"/>
        <v>INSERT INTO oecd_currencies (iso_country, country_name, iso_curry, curry_name) VALUES ('SM','SAN MARINO','EUR','Euro');</v>
      </c>
    </row>
    <row r="195" spans="1:6" x14ac:dyDescent="0.25">
      <c r="A195" s="1" t="s">
        <v>567</v>
      </c>
      <c r="B195" s="2" t="s">
        <v>568</v>
      </c>
      <c r="C195" t="str">
        <f>VLOOKUP("*"&amp;B195&amp;"*",currCode_Type!A:C,2,FALSE)</f>
        <v>STD</v>
      </c>
      <c r="D195" t="str">
        <f>VLOOKUP("*"&amp;B195&amp;"*",currCode_Type!A:C,3,FALSE)</f>
        <v>Dobra</v>
      </c>
      <c r="E195" s="9" t="str">
        <f t="shared" ref="E195:E250" si="6">"INSERT INTO oecd_currencies (iso_country, country_name, iso_curry, curry_name) VALUES ("&amp;"'"&amp;A195&amp;"'"&amp;","&amp;"'"&amp;B195&amp;"'"&amp;","&amp;"'"&amp;C195&amp;"'"&amp;","&amp;"'"&amp;D195&amp;"'"&amp;");"</f>
        <v>INSERT INTO oecd_currencies (iso_country, country_name, iso_curry, curry_name) VALUES ('ST','SAO TOME AND PRINCIPE','STD','Dobra');</v>
      </c>
      <c r="F195" s="11" t="str">
        <f t="shared" ref="F195:F250" si="7">"INSERT INTO oecd_currencies (iso_country, country_name, iso_curry, curry_name) VALUES ("&amp;"'"&amp;A195&amp;"'"&amp;","&amp;"'"&amp;B195&amp;"'"&amp;","&amp;"'"&amp;C195&amp;"'"&amp;","&amp;"'"&amp;D195&amp;"'"&amp;");"</f>
        <v>INSERT INTO oecd_currencies (iso_country, country_name, iso_curry, curry_name) VALUES ('ST','SAO TOME AND PRINCIPE','STD','Dobra');</v>
      </c>
    </row>
    <row r="196" spans="1:6" x14ac:dyDescent="0.25">
      <c r="A196" s="3" t="s">
        <v>569</v>
      </c>
      <c r="B196" s="4" t="s">
        <v>570</v>
      </c>
      <c r="C196" t="str">
        <f>VLOOKUP("*"&amp;B196&amp;"*",currCode_Type!A:C,2,FALSE)</f>
        <v>SAR</v>
      </c>
      <c r="D196" t="str">
        <f>VLOOKUP("*"&amp;B196&amp;"*",currCode_Type!A:C,3,FALSE)</f>
        <v>Saudi Riyal</v>
      </c>
      <c r="E196" s="9" t="str">
        <f t="shared" si="6"/>
        <v>INSERT INTO oecd_currencies (iso_country, country_name, iso_curry, curry_name) VALUES ('SA','SAUDI ARABIA','SAR','Saudi Riyal');</v>
      </c>
      <c r="F196" s="11" t="str">
        <f t="shared" si="7"/>
        <v>INSERT INTO oecd_currencies (iso_country, country_name, iso_curry, curry_name) VALUES ('SA','SAUDI ARABIA','SAR','Saudi Riyal');</v>
      </c>
    </row>
    <row r="197" spans="1:6" x14ac:dyDescent="0.25">
      <c r="A197" s="1" t="s">
        <v>571</v>
      </c>
      <c r="B197" s="2" t="s">
        <v>572</v>
      </c>
      <c r="C197" t="str">
        <f>VLOOKUP("*"&amp;B197&amp;"*",currCode_Type!A:C,2,FALSE)</f>
        <v>XOF</v>
      </c>
      <c r="D197" t="str">
        <f>VLOOKUP("*"&amp;B197&amp;"*",currCode_Type!A:C,3,FALSE)</f>
        <v>CFA Franc BCEAO</v>
      </c>
      <c r="E197" s="9" t="str">
        <f t="shared" si="6"/>
        <v>INSERT INTO oecd_currencies (iso_country, country_name, iso_curry, curry_name) VALUES ('SN','SENEGAL','XOF','CFA Franc BCEAO');</v>
      </c>
      <c r="F197" s="11" t="str">
        <f t="shared" si="7"/>
        <v>INSERT INTO oecd_currencies (iso_country, country_name, iso_curry, curry_name) VALUES ('SN','SENEGAL','XOF','CFA Franc BCEAO');</v>
      </c>
    </row>
    <row r="198" spans="1:6" x14ac:dyDescent="0.25">
      <c r="A198" s="3" t="s">
        <v>573</v>
      </c>
      <c r="B198" s="4" t="s">
        <v>574</v>
      </c>
      <c r="C198" t="str">
        <f>VLOOKUP("*"&amp;B198&amp;"*",currCode_Type!A:C,2,FALSE)</f>
        <v>RSD</v>
      </c>
      <c r="D198" t="str">
        <f>VLOOKUP("*"&amp;B198&amp;"*",currCode_Type!A:C,3,FALSE)</f>
        <v>Serbian Dinar</v>
      </c>
      <c r="E198" s="9" t="str">
        <f t="shared" si="6"/>
        <v>INSERT INTO oecd_currencies (iso_country, country_name, iso_curry, curry_name) VALUES ('RS','SERBIA','RSD','Serbian Dinar');</v>
      </c>
      <c r="F198" s="11" t="str">
        <f t="shared" si="7"/>
        <v>INSERT INTO oecd_currencies (iso_country, country_name, iso_curry, curry_name) VALUES ('RS','SERBIA','RSD','Serbian Dinar');</v>
      </c>
    </row>
    <row r="199" spans="1:6" x14ac:dyDescent="0.25">
      <c r="A199" s="1" t="s">
        <v>575</v>
      </c>
      <c r="B199" s="2" t="s">
        <v>576</v>
      </c>
      <c r="C199" t="str">
        <f>VLOOKUP("*"&amp;B199&amp;"*",currCode_Type!A:C,2,FALSE)</f>
        <v>SCR</v>
      </c>
      <c r="D199" t="str">
        <f>VLOOKUP("*"&amp;B199&amp;"*",currCode_Type!A:C,3,FALSE)</f>
        <v>Seychelles Rupee</v>
      </c>
      <c r="E199" s="9" t="str">
        <f t="shared" si="6"/>
        <v>INSERT INTO oecd_currencies (iso_country, country_name, iso_curry, curry_name) VALUES ('SC','SEYCHELLES','SCR','Seychelles Rupee');</v>
      </c>
      <c r="F199" s="11" t="str">
        <f t="shared" si="7"/>
        <v>INSERT INTO oecd_currencies (iso_country, country_name, iso_curry, curry_name) VALUES ('SC','SEYCHELLES','SCR','Seychelles Rupee');</v>
      </c>
    </row>
    <row r="200" spans="1:6" x14ac:dyDescent="0.25">
      <c r="A200" s="3" t="s">
        <v>577</v>
      </c>
      <c r="B200" s="4" t="s">
        <v>578</v>
      </c>
      <c r="C200" t="str">
        <f>VLOOKUP("*"&amp;B200&amp;"*",currCode_Type!A:C,2,FALSE)</f>
        <v>SLL</v>
      </c>
      <c r="D200" t="str">
        <f>VLOOKUP("*"&amp;B200&amp;"*",currCode_Type!A:C,3,FALSE)</f>
        <v>Leone</v>
      </c>
      <c r="E200" s="9" t="str">
        <f t="shared" si="6"/>
        <v>INSERT INTO oecd_currencies (iso_country, country_name, iso_curry, curry_name) VALUES ('SL','SIERRA LEONE','SLL','Leone');</v>
      </c>
      <c r="F200" s="11" t="str">
        <f t="shared" si="7"/>
        <v>INSERT INTO oecd_currencies (iso_country, country_name, iso_curry, curry_name) VALUES ('SL','SIERRA LEONE','SLL','Leone');</v>
      </c>
    </row>
    <row r="201" spans="1:6" x14ac:dyDescent="0.25">
      <c r="A201" s="1" t="s">
        <v>579</v>
      </c>
      <c r="B201" s="2" t="s">
        <v>580</v>
      </c>
      <c r="C201" t="str">
        <f>VLOOKUP("*"&amp;B201&amp;"*",currCode_Type!A:C,2,FALSE)</f>
        <v>SGD</v>
      </c>
      <c r="D201" t="str">
        <f>VLOOKUP("*"&amp;B201&amp;"*",currCode_Type!A:C,3,FALSE)</f>
        <v>Singapore Dollar</v>
      </c>
      <c r="E201" s="9" t="str">
        <f t="shared" si="6"/>
        <v>INSERT INTO oecd_currencies (iso_country, country_name, iso_curry, curry_name) VALUES ('SG','SINGAPORE','SGD','Singapore Dollar');</v>
      </c>
      <c r="F201" s="11" t="str">
        <f t="shared" si="7"/>
        <v>INSERT INTO oecd_currencies (iso_country, country_name, iso_curry, curry_name) VALUES ('SG','SINGAPORE','SGD','Singapore Dollar');</v>
      </c>
    </row>
    <row r="202" spans="1:6" x14ac:dyDescent="0.25">
      <c r="A202" s="3" t="s">
        <v>581</v>
      </c>
      <c r="B202" s="4" t="s">
        <v>582</v>
      </c>
      <c r="C202" t="str">
        <f>VLOOKUP("*"&amp;B202&amp;"*",currCode_Type!A:C,2,FALSE)</f>
        <v>ANG</v>
      </c>
      <c r="D202" t="str">
        <f>VLOOKUP("*"&amp;B202&amp;"*",currCode_Type!A:C,3,FALSE)</f>
        <v>Netherlands Antillean Guilder</v>
      </c>
      <c r="E202" s="9" t="str">
        <f t="shared" si="6"/>
        <v>INSERT INTO oecd_currencies (iso_country, country_name, iso_curry, curry_name) VALUES ('SX','SINT MAARTEN (DUTCH PART)','ANG','Netherlands Antillean Guilder');</v>
      </c>
      <c r="F202" s="11" t="str">
        <f t="shared" si="7"/>
        <v>INSERT INTO oecd_currencies (iso_country, country_name, iso_curry, curry_name) VALUES ('SX','SINT MAARTEN (DUTCH PART)','ANG','Netherlands Antillean Guilder');</v>
      </c>
    </row>
    <row r="203" spans="1:6" x14ac:dyDescent="0.25">
      <c r="A203" s="1" t="s">
        <v>583</v>
      </c>
      <c r="B203" s="2" t="s">
        <v>584</v>
      </c>
      <c r="C203" t="str">
        <f>VLOOKUP("*"&amp;B203&amp;"*",currCode_Type!A:C,2,FALSE)</f>
        <v>EUR</v>
      </c>
      <c r="D203" t="str">
        <f>VLOOKUP("*"&amp;B203&amp;"*",currCode_Type!A:C,3,FALSE)</f>
        <v>Euro</v>
      </c>
      <c r="E203" s="9" t="str">
        <f t="shared" si="6"/>
        <v>INSERT INTO oecd_currencies (iso_country, country_name, iso_curry, curry_name) VALUES ('SK','SLOVAKIA','EUR','Euro');</v>
      </c>
      <c r="F203" s="11" t="str">
        <f t="shared" si="7"/>
        <v>INSERT INTO oecd_currencies (iso_country, country_name, iso_curry, curry_name) VALUES ('SK','SLOVAKIA','EUR','Euro');</v>
      </c>
    </row>
    <row r="204" spans="1:6" x14ac:dyDescent="0.25">
      <c r="A204" s="3" t="s">
        <v>585</v>
      </c>
      <c r="B204" s="4" t="s">
        <v>586</v>
      </c>
      <c r="C204" t="str">
        <f>VLOOKUP("*"&amp;B204&amp;"*",currCode_Type!A:C,2,FALSE)</f>
        <v>EUR</v>
      </c>
      <c r="D204" t="str">
        <f>VLOOKUP("*"&amp;B204&amp;"*",currCode_Type!A:C,3,FALSE)</f>
        <v>Euro</v>
      </c>
      <c r="E204" s="9" t="str">
        <f t="shared" si="6"/>
        <v>INSERT INTO oecd_currencies (iso_country, country_name, iso_curry, curry_name) VALUES ('SI','SLOVENIA','EUR','Euro');</v>
      </c>
      <c r="F204" s="11" t="str">
        <f t="shared" si="7"/>
        <v>INSERT INTO oecd_currencies (iso_country, country_name, iso_curry, curry_name) VALUES ('SI','SLOVENIA','EUR','Euro');</v>
      </c>
    </row>
    <row r="205" spans="1:6" x14ac:dyDescent="0.25">
      <c r="A205" s="1" t="s">
        <v>587</v>
      </c>
      <c r="B205" s="2" t="s">
        <v>588</v>
      </c>
      <c r="C205" t="str">
        <f>VLOOKUP("*"&amp;B205&amp;"*",currCode_Type!A:C,2,FALSE)</f>
        <v>SBD</v>
      </c>
      <c r="D205" t="str">
        <f>VLOOKUP("*"&amp;B205&amp;"*",currCode_Type!A:C,3,FALSE)</f>
        <v>Solomon Islands Dollar</v>
      </c>
      <c r="E205" s="9" t="str">
        <f t="shared" si="6"/>
        <v>INSERT INTO oecd_currencies (iso_country, country_name, iso_curry, curry_name) VALUES ('SB','SOLOMON ISLANDS','SBD','Solomon Islands Dollar');</v>
      </c>
      <c r="F205" s="11" t="str">
        <f t="shared" si="7"/>
        <v>INSERT INTO oecd_currencies (iso_country, country_name, iso_curry, curry_name) VALUES ('SB','SOLOMON ISLANDS','SBD','Solomon Islands Dollar');</v>
      </c>
    </row>
    <row r="206" spans="1:6" x14ac:dyDescent="0.25">
      <c r="A206" s="3" t="s">
        <v>589</v>
      </c>
      <c r="B206" s="4" t="s">
        <v>590</v>
      </c>
      <c r="C206" t="str">
        <f>VLOOKUP("*"&amp;B206&amp;"*",currCode_Type!A:C,2,FALSE)</f>
        <v>SOS</v>
      </c>
      <c r="D206" t="str">
        <f>VLOOKUP("*"&amp;B206&amp;"*",currCode_Type!A:C,3,FALSE)</f>
        <v>Somali Shilling</v>
      </c>
      <c r="E206" s="9" t="str">
        <f t="shared" si="6"/>
        <v>INSERT INTO oecd_currencies (iso_country, country_name, iso_curry, curry_name) VALUES ('SO','SOMALIA','SOS','Somali Shilling');</v>
      </c>
      <c r="F206" s="11" t="str">
        <f t="shared" si="7"/>
        <v>INSERT INTO oecd_currencies (iso_country, country_name, iso_curry, curry_name) VALUES ('SO','SOMALIA','SOS','Somali Shilling');</v>
      </c>
    </row>
    <row r="207" spans="1:6" x14ac:dyDescent="0.25">
      <c r="A207" s="1" t="s">
        <v>591</v>
      </c>
      <c r="B207" s="2" t="s">
        <v>592</v>
      </c>
      <c r="C207" t="str">
        <f>VLOOKUP("*"&amp;B207&amp;"*",currCode_Type!A:C,2,FALSE)</f>
        <v>ZAR</v>
      </c>
      <c r="D207" t="str">
        <f>VLOOKUP("*"&amp;B207&amp;"*",currCode_Type!A:C,3,FALSE)</f>
        <v>Rand</v>
      </c>
      <c r="E207" s="9" t="str">
        <f t="shared" si="6"/>
        <v>INSERT INTO oecd_currencies (iso_country, country_name, iso_curry, curry_name) VALUES ('ZA','SOUTH AFRICA','ZAR','Rand');</v>
      </c>
      <c r="F207" s="11" t="str">
        <f t="shared" si="7"/>
        <v>INSERT INTO oecd_currencies (iso_country, country_name, iso_curry, curry_name) VALUES ('ZA','SOUTH AFRICA','ZAR','Rand');</v>
      </c>
    </row>
    <row r="208" spans="1:6" x14ac:dyDescent="0.25">
      <c r="A208" s="3" t="s">
        <v>593</v>
      </c>
      <c r="B208" s="4" t="s">
        <v>594</v>
      </c>
      <c r="C208" t="e">
        <f>VLOOKUP("*"&amp;B208&amp;"*",currCode_Type!A:C,2,FALSE)</f>
        <v>#N/A</v>
      </c>
      <c r="D208" t="e">
        <f>VLOOKUP("*"&amp;B208&amp;"*",currCode_Type!A:C,3,FALSE)</f>
        <v>#N/A</v>
      </c>
      <c r="E208" s="9" t="e">
        <f t="shared" si="6"/>
        <v>#N/A</v>
      </c>
      <c r="F208" s="11" t="e">
        <f t="shared" si="7"/>
        <v>#N/A</v>
      </c>
    </row>
    <row r="209" spans="1:6" x14ac:dyDescent="0.25">
      <c r="A209" s="1" t="s">
        <v>595</v>
      </c>
      <c r="B209" s="2" t="s">
        <v>596</v>
      </c>
      <c r="C209" t="str">
        <f>VLOOKUP("*"&amp;B209&amp;"*",currCode_Type!A:C,2,FALSE)</f>
        <v>SSP</v>
      </c>
      <c r="D209" t="str">
        <f>VLOOKUP("*"&amp;B209&amp;"*",currCode_Type!A:C,3,FALSE)</f>
        <v>South Sudanese Pound</v>
      </c>
      <c r="E209" s="9" t="str">
        <f t="shared" si="6"/>
        <v>INSERT INTO oecd_currencies (iso_country, country_name, iso_curry, curry_name) VALUES ('SS','SOUTH SUDAN','SSP','South Sudanese Pound');</v>
      </c>
      <c r="F209" s="11" t="str">
        <f t="shared" si="7"/>
        <v>INSERT INTO oecd_currencies (iso_country, country_name, iso_curry, curry_name) VALUES ('SS','SOUTH SUDAN','SSP','South Sudanese Pound');</v>
      </c>
    </row>
    <row r="210" spans="1:6" x14ac:dyDescent="0.25">
      <c r="A210" s="3" t="s">
        <v>597</v>
      </c>
      <c r="B210" s="4" t="s">
        <v>598</v>
      </c>
      <c r="C210" t="str">
        <f>VLOOKUP("*"&amp;B210&amp;"*",currCode_Type!A:C,2,FALSE)</f>
        <v>EUR</v>
      </c>
      <c r="D210" t="str">
        <f>VLOOKUP("*"&amp;B210&amp;"*",currCode_Type!A:C,3,FALSE)</f>
        <v>Euro</v>
      </c>
      <c r="E210" s="9" t="str">
        <f t="shared" si="6"/>
        <v>INSERT INTO oecd_currencies (iso_country, country_name, iso_curry, curry_name) VALUES ('ES','SPAIN','EUR','Euro');</v>
      </c>
      <c r="F210" s="11" t="str">
        <f t="shared" si="7"/>
        <v>INSERT INTO oecd_currencies (iso_country, country_name, iso_curry, curry_name) VALUES ('ES','SPAIN','EUR','Euro');</v>
      </c>
    </row>
    <row r="211" spans="1:6" x14ac:dyDescent="0.25">
      <c r="A211" s="1" t="s">
        <v>599</v>
      </c>
      <c r="B211" s="2" t="s">
        <v>600</v>
      </c>
      <c r="C211" t="str">
        <f>VLOOKUP("*"&amp;B211&amp;"*",currCode_Type!A:C,2,FALSE)</f>
        <v>LKR</v>
      </c>
      <c r="D211" t="str">
        <f>VLOOKUP("*"&amp;B211&amp;"*",currCode_Type!A:C,3,FALSE)</f>
        <v>Sri Lanka Rupee</v>
      </c>
      <c r="E211" s="9" t="str">
        <f t="shared" si="6"/>
        <v>INSERT INTO oecd_currencies (iso_country, country_name, iso_curry, curry_name) VALUES ('LK','SRI LANKA','LKR','Sri Lanka Rupee');</v>
      </c>
      <c r="F211" s="11" t="str">
        <f t="shared" si="7"/>
        <v>INSERT INTO oecd_currencies (iso_country, country_name, iso_curry, curry_name) VALUES ('LK','SRI LANKA','LKR','Sri Lanka Rupee');</v>
      </c>
    </row>
    <row r="212" spans="1:6" x14ac:dyDescent="0.25">
      <c r="A212" s="3" t="s">
        <v>601</v>
      </c>
      <c r="B212" s="4" t="s">
        <v>602</v>
      </c>
      <c r="C212" t="str">
        <f>VLOOKUP("*"&amp;B212&amp;"*",currCode_Type!A:C,2,FALSE)</f>
        <v>SDG</v>
      </c>
      <c r="D212" t="str">
        <f>VLOOKUP("*"&amp;B212&amp;"*",currCode_Type!A:C,3,FALSE)</f>
        <v>Sudanese Pound</v>
      </c>
      <c r="E212" s="9" t="str">
        <f t="shared" si="6"/>
        <v>INSERT INTO oecd_currencies (iso_country, country_name, iso_curry, curry_name) VALUES ('SD','SUDAN','SDG','Sudanese Pound');</v>
      </c>
      <c r="F212" s="11" t="str">
        <f t="shared" si="7"/>
        <v>INSERT INTO oecd_currencies (iso_country, country_name, iso_curry, curry_name) VALUES ('SD','SUDAN','SDG','Sudanese Pound');</v>
      </c>
    </row>
    <row r="213" spans="1:6" x14ac:dyDescent="0.25">
      <c r="A213" s="1" t="s">
        <v>603</v>
      </c>
      <c r="B213" s="2" t="s">
        <v>604</v>
      </c>
      <c r="C213" t="str">
        <f>VLOOKUP("*"&amp;B213&amp;"*",currCode_Type!A:C,2,FALSE)</f>
        <v>SRD</v>
      </c>
      <c r="D213" t="str">
        <f>VLOOKUP("*"&amp;B213&amp;"*",currCode_Type!A:C,3,FALSE)</f>
        <v>Surinam Dollar</v>
      </c>
      <c r="E213" s="9" t="str">
        <f t="shared" si="6"/>
        <v>INSERT INTO oecd_currencies (iso_country, country_name, iso_curry, curry_name) VALUES ('SR','SURINAME','SRD','Surinam Dollar');</v>
      </c>
      <c r="F213" s="11" t="str">
        <f t="shared" si="7"/>
        <v>INSERT INTO oecd_currencies (iso_country, country_name, iso_curry, curry_name) VALUES ('SR','SURINAME','SRD','Surinam Dollar');</v>
      </c>
    </row>
    <row r="214" spans="1:6" x14ac:dyDescent="0.25">
      <c r="A214" s="3" t="s">
        <v>605</v>
      </c>
      <c r="B214" s="4" t="s">
        <v>606</v>
      </c>
      <c r="C214" t="str">
        <f>VLOOKUP("*"&amp;B214&amp;"*",currCode_Type!A:C,2,FALSE)</f>
        <v>NOK</v>
      </c>
      <c r="D214" t="str">
        <f>VLOOKUP("*"&amp;B214&amp;"*",currCode_Type!A:C,3,FALSE)</f>
        <v>Norwegian Krone</v>
      </c>
      <c r="E214" s="9" t="str">
        <f t="shared" si="6"/>
        <v>INSERT INTO oecd_currencies (iso_country, country_name, iso_curry, curry_name) VALUES ('SJ','SVALBARD AND JAN MAYEN','NOK','Norwegian Krone');</v>
      </c>
      <c r="F214" s="11" t="str">
        <f t="shared" si="7"/>
        <v>INSERT INTO oecd_currencies (iso_country, country_name, iso_curry, curry_name) VALUES ('SJ','SVALBARD AND JAN MAYEN','NOK','Norwegian Krone');</v>
      </c>
    </row>
    <row r="215" spans="1:6" x14ac:dyDescent="0.25">
      <c r="A215" s="1" t="s">
        <v>607</v>
      </c>
      <c r="B215" s="2" t="s">
        <v>608</v>
      </c>
      <c r="C215" t="str">
        <f>VLOOKUP("*"&amp;B215&amp;"*",currCode_Type!A:C,2,FALSE)</f>
        <v>SZL</v>
      </c>
      <c r="D215" t="str">
        <f>VLOOKUP("*"&amp;B215&amp;"*",currCode_Type!A:C,3,FALSE)</f>
        <v>Lilangeni</v>
      </c>
      <c r="E215" s="9" t="str">
        <f t="shared" si="6"/>
        <v>INSERT INTO oecd_currencies (iso_country, country_name, iso_curry, curry_name) VALUES ('SZ','SWAZILAND','SZL','Lilangeni');</v>
      </c>
      <c r="F215" s="11" t="str">
        <f t="shared" si="7"/>
        <v>INSERT INTO oecd_currencies (iso_country, country_name, iso_curry, curry_name) VALUES ('SZ','SWAZILAND','SZL','Lilangeni');</v>
      </c>
    </row>
    <row r="216" spans="1:6" x14ac:dyDescent="0.25">
      <c r="A216" s="3" t="s">
        <v>609</v>
      </c>
      <c r="B216" s="4" t="s">
        <v>610</v>
      </c>
      <c r="C216" t="str">
        <f>VLOOKUP("*"&amp;B216&amp;"*",currCode_Type!A:C,2,FALSE)</f>
        <v>SEK</v>
      </c>
      <c r="D216" t="str">
        <f>VLOOKUP("*"&amp;B216&amp;"*",currCode_Type!A:C,3,FALSE)</f>
        <v>Swedish Krona</v>
      </c>
      <c r="E216" s="9" t="str">
        <f t="shared" si="6"/>
        <v>INSERT INTO oecd_currencies (iso_country, country_name, iso_curry, curry_name) VALUES ('SE','SWEDEN','SEK','Swedish Krona');</v>
      </c>
      <c r="F216" s="11" t="str">
        <f t="shared" si="7"/>
        <v>INSERT INTO oecd_currencies (iso_country, country_name, iso_curry, curry_name) VALUES ('SE','SWEDEN','SEK','Swedish Krona');</v>
      </c>
    </row>
    <row r="217" spans="1:6" x14ac:dyDescent="0.25">
      <c r="A217" s="1" t="s">
        <v>611</v>
      </c>
      <c r="B217" s="2" t="s">
        <v>612</v>
      </c>
      <c r="C217" t="str">
        <f>VLOOKUP("*"&amp;B217&amp;"*",currCode_Type!A:C,2,FALSE)</f>
        <v>CHE</v>
      </c>
      <c r="D217" t="str">
        <f>VLOOKUP("*"&amp;B217&amp;"*",currCode_Type!A:C,3,FALSE)</f>
        <v>WIR Euro</v>
      </c>
      <c r="E217" s="9" t="str">
        <f t="shared" si="6"/>
        <v>INSERT INTO oecd_currencies (iso_country, country_name, iso_curry, curry_name) VALUES ('CH','SWITZERLAND','CHE','WIR Euro');</v>
      </c>
      <c r="F217" s="11" t="str">
        <f t="shared" si="7"/>
        <v>INSERT INTO oecd_currencies (iso_country, country_name, iso_curry, curry_name) VALUES ('CH','SWITZERLAND','CHE','WIR Euro');</v>
      </c>
    </row>
    <row r="218" spans="1:6" x14ac:dyDescent="0.25">
      <c r="A218" s="3" t="s">
        <v>613</v>
      </c>
      <c r="B218" s="4" t="s">
        <v>614</v>
      </c>
      <c r="C218" t="str">
        <f>VLOOKUP("*"&amp;B218&amp;"*",currCode_Type!A:C,2,FALSE)</f>
        <v>SYP</v>
      </c>
      <c r="D218" t="str">
        <f>VLOOKUP("*"&amp;B218&amp;"*",currCode_Type!A:C,3,FALSE)</f>
        <v>Syrian Pound</v>
      </c>
      <c r="E218" s="9" t="str">
        <f t="shared" si="6"/>
        <v>INSERT INTO oecd_currencies (iso_country, country_name, iso_curry, curry_name) VALUES ('SY','SYRIAN ARAB REPUBLIC','SYP','Syrian Pound');</v>
      </c>
      <c r="F218" s="11" t="str">
        <f t="shared" si="7"/>
        <v>INSERT INTO oecd_currencies (iso_country, country_name, iso_curry, curry_name) VALUES ('SY','SYRIAN ARAB REPUBLIC','SYP','Syrian Pound');</v>
      </c>
    </row>
    <row r="219" spans="1:6" x14ac:dyDescent="0.25">
      <c r="A219" s="1" t="s">
        <v>615</v>
      </c>
      <c r="B219" s="2" t="s">
        <v>616</v>
      </c>
      <c r="C219" t="str">
        <f>VLOOKUP("*"&amp;B219&amp;"*",currCode_Type!A:C,2,FALSE)</f>
        <v>TWD</v>
      </c>
      <c r="D219" t="str">
        <f>VLOOKUP("*"&amp;B219&amp;"*",currCode_Type!A:C,3,FALSE)</f>
        <v>New Taiwan Dollar</v>
      </c>
      <c r="E219" s="9" t="str">
        <f t="shared" si="6"/>
        <v>INSERT INTO oecd_currencies (iso_country, country_name, iso_curry, curry_name) VALUES ('TW','TAIWAN, PROVINCE OF CHINA','TWD','New Taiwan Dollar');</v>
      </c>
      <c r="F219" s="11" t="str">
        <f t="shared" si="7"/>
        <v>INSERT INTO oecd_currencies (iso_country, country_name, iso_curry, curry_name) VALUES ('TW','TAIWAN, PROVINCE OF CHINA','TWD','New Taiwan Dollar');</v>
      </c>
    </row>
    <row r="220" spans="1:6" x14ac:dyDescent="0.25">
      <c r="A220" s="3" t="s">
        <v>617</v>
      </c>
      <c r="B220" s="4" t="s">
        <v>618</v>
      </c>
      <c r="C220" t="str">
        <f>VLOOKUP("*"&amp;B220&amp;"*",currCode_Type!A:C,2,FALSE)</f>
        <v>TJS</v>
      </c>
      <c r="D220" t="str">
        <f>VLOOKUP("*"&amp;B220&amp;"*",currCode_Type!A:C,3,FALSE)</f>
        <v>Somoni</v>
      </c>
      <c r="E220" s="9" t="str">
        <f t="shared" si="6"/>
        <v>INSERT INTO oecd_currencies (iso_country, country_name, iso_curry, curry_name) VALUES ('TJ','TAJIKISTAN','TJS','Somoni');</v>
      </c>
      <c r="F220" s="11" t="str">
        <f t="shared" si="7"/>
        <v>INSERT INTO oecd_currencies (iso_country, country_name, iso_curry, curry_name) VALUES ('TJ','TAJIKISTAN','TJS','Somoni');</v>
      </c>
    </row>
    <row r="221" spans="1:6" x14ac:dyDescent="0.25">
      <c r="A221" s="1" t="s">
        <v>619</v>
      </c>
      <c r="B221" s="2" t="s">
        <v>620</v>
      </c>
      <c r="C221" t="str">
        <f>VLOOKUP("*"&amp;B221&amp;"*",currCode_Type!A:C,2,FALSE)</f>
        <v>TZS</v>
      </c>
      <c r="D221" t="str">
        <f>VLOOKUP("*"&amp;B221&amp;"*",currCode_Type!A:C,3,FALSE)</f>
        <v>Tanzanian Shilling</v>
      </c>
      <c r="E221" s="9" t="str">
        <f t="shared" si="6"/>
        <v>INSERT INTO oecd_currencies (iso_country, country_name, iso_curry, curry_name) VALUES ('TZ','TANZANIA, UNITED REPUBLIC OF','TZS','Tanzanian Shilling');</v>
      </c>
      <c r="F221" s="11" t="str">
        <f t="shared" si="7"/>
        <v>INSERT INTO oecd_currencies (iso_country, country_name, iso_curry, curry_name) VALUES ('TZ','TANZANIA, UNITED REPUBLIC OF','TZS','Tanzanian Shilling');</v>
      </c>
    </row>
    <row r="222" spans="1:6" x14ac:dyDescent="0.25">
      <c r="A222" s="3" t="s">
        <v>621</v>
      </c>
      <c r="B222" s="4" t="s">
        <v>622</v>
      </c>
      <c r="C222" t="str">
        <f>VLOOKUP("*"&amp;B222&amp;"*",currCode_Type!A:C,2,FALSE)</f>
        <v>THB</v>
      </c>
      <c r="D222" t="str">
        <f>VLOOKUP("*"&amp;B222&amp;"*",currCode_Type!A:C,3,FALSE)</f>
        <v>Baht</v>
      </c>
      <c r="E222" s="9" t="str">
        <f t="shared" si="6"/>
        <v>INSERT INTO oecd_currencies (iso_country, country_name, iso_curry, curry_name) VALUES ('TH','THAILAND','THB','Baht');</v>
      </c>
      <c r="F222" s="11" t="str">
        <f t="shared" si="7"/>
        <v>INSERT INTO oecd_currencies (iso_country, country_name, iso_curry, curry_name) VALUES ('TH','THAILAND','THB','Baht');</v>
      </c>
    </row>
    <row r="223" spans="1:6" x14ac:dyDescent="0.25">
      <c r="A223" s="1" t="s">
        <v>623</v>
      </c>
      <c r="B223" s="2" t="s">
        <v>624</v>
      </c>
      <c r="C223" t="str">
        <f>VLOOKUP("*"&amp;B223&amp;"*",currCode_Type!A:C,2,FALSE)</f>
        <v>USD</v>
      </c>
      <c r="D223" t="str">
        <f>VLOOKUP("*"&amp;B223&amp;"*",currCode_Type!A:C,3,FALSE)</f>
        <v>US Dollar</v>
      </c>
      <c r="E223" s="9" t="str">
        <f t="shared" si="6"/>
        <v>INSERT INTO oecd_currencies (iso_country, country_name, iso_curry, curry_name) VALUES ('TL','TIMOR-LESTE','USD','US Dollar');</v>
      </c>
      <c r="F223" s="11" t="str">
        <f t="shared" si="7"/>
        <v>INSERT INTO oecd_currencies (iso_country, country_name, iso_curry, curry_name) VALUES ('TL','TIMOR-LESTE','USD','US Dollar');</v>
      </c>
    </row>
    <row r="224" spans="1:6" x14ac:dyDescent="0.25">
      <c r="A224" s="3" t="s">
        <v>625</v>
      </c>
      <c r="B224" s="4" t="s">
        <v>626</v>
      </c>
      <c r="C224" t="str">
        <f>VLOOKUP("*"&amp;B224&amp;"*",currCode_Type!A:C,2,FALSE)</f>
        <v>XOF</v>
      </c>
      <c r="D224" t="str">
        <f>VLOOKUP("*"&amp;B224&amp;"*",currCode_Type!A:C,3,FALSE)</f>
        <v>CFA Franc BCEAO</v>
      </c>
      <c r="E224" s="9" t="str">
        <f t="shared" si="6"/>
        <v>INSERT INTO oecd_currencies (iso_country, country_name, iso_curry, curry_name) VALUES ('TG','TOGO','XOF','CFA Franc BCEAO');</v>
      </c>
      <c r="F224" s="11" t="str">
        <f t="shared" si="7"/>
        <v>INSERT INTO oecd_currencies (iso_country, country_name, iso_curry, curry_name) VALUES ('TG','TOGO','XOF','CFA Franc BCEAO');</v>
      </c>
    </row>
    <row r="225" spans="1:6" x14ac:dyDescent="0.25">
      <c r="A225" s="1" t="s">
        <v>627</v>
      </c>
      <c r="B225" s="2" t="s">
        <v>628</v>
      </c>
      <c r="C225" t="str">
        <f>VLOOKUP("*"&amp;B225&amp;"*",currCode_Type!A:C,2,FALSE)</f>
        <v>NZD</v>
      </c>
      <c r="D225" t="str">
        <f>VLOOKUP("*"&amp;B225&amp;"*",currCode_Type!A:C,3,FALSE)</f>
        <v>New Zealand Dollar</v>
      </c>
      <c r="E225" s="9" t="str">
        <f t="shared" si="6"/>
        <v>INSERT INTO oecd_currencies (iso_country, country_name, iso_curry, curry_name) VALUES ('TK','TOKELAU','NZD','New Zealand Dollar');</v>
      </c>
      <c r="F225" s="11" t="str">
        <f t="shared" si="7"/>
        <v>INSERT INTO oecd_currencies (iso_country, country_name, iso_curry, curry_name) VALUES ('TK','TOKELAU','NZD','New Zealand Dollar');</v>
      </c>
    </row>
    <row r="226" spans="1:6" x14ac:dyDescent="0.25">
      <c r="A226" s="3" t="s">
        <v>629</v>
      </c>
      <c r="B226" s="4" t="s">
        <v>630</v>
      </c>
      <c r="C226" t="str">
        <f>VLOOKUP("*"&amp;B226&amp;"*",currCode_Type!A:C,2,FALSE)</f>
        <v>TOP</v>
      </c>
      <c r="D226" t="str">
        <f>VLOOKUP("*"&amp;B226&amp;"*",currCode_Type!A:C,3,FALSE)</f>
        <v>Pa’anga</v>
      </c>
      <c r="E226" s="9" t="str">
        <f t="shared" si="6"/>
        <v>INSERT INTO oecd_currencies (iso_country, country_name, iso_curry, curry_name) VALUES ('TO','TONGA','TOP','Pa’anga');</v>
      </c>
      <c r="F226" s="11" t="str">
        <f t="shared" si="7"/>
        <v>INSERT INTO oecd_currencies (iso_country, country_name, iso_curry, curry_name) VALUES ('TO','TONGA','TOP','Pa’anga');</v>
      </c>
    </row>
    <row r="227" spans="1:6" x14ac:dyDescent="0.25">
      <c r="A227" s="1" t="s">
        <v>631</v>
      </c>
      <c r="B227" s="2" t="s">
        <v>632</v>
      </c>
      <c r="C227" t="str">
        <f>VLOOKUP("*"&amp;B227&amp;"*",currCode_Type!A:C,2,FALSE)</f>
        <v>TTD</v>
      </c>
      <c r="D227" t="str">
        <f>VLOOKUP("*"&amp;B227&amp;"*",currCode_Type!A:C,3,FALSE)</f>
        <v>Trinidad and Tobago Dollar</v>
      </c>
      <c r="E227" s="9" t="str">
        <f t="shared" si="6"/>
        <v>INSERT INTO oecd_currencies (iso_country, country_name, iso_curry, curry_name) VALUES ('TT','TRINIDAD AND TOBAGO','TTD','Trinidad and Tobago Dollar');</v>
      </c>
      <c r="F227" s="11" t="str">
        <f t="shared" si="7"/>
        <v>INSERT INTO oecd_currencies (iso_country, country_name, iso_curry, curry_name) VALUES ('TT','TRINIDAD AND TOBAGO','TTD','Trinidad and Tobago Dollar');</v>
      </c>
    </row>
    <row r="228" spans="1:6" x14ac:dyDescent="0.25">
      <c r="A228" s="3" t="s">
        <v>633</v>
      </c>
      <c r="B228" s="4" t="s">
        <v>634</v>
      </c>
      <c r="C228" t="str">
        <f>VLOOKUP("*"&amp;B228&amp;"*",currCode_Type!A:C,2,FALSE)</f>
        <v>TND</v>
      </c>
      <c r="D228" t="str">
        <f>VLOOKUP("*"&amp;B228&amp;"*",currCode_Type!A:C,3,FALSE)</f>
        <v>Tunisian Dinar</v>
      </c>
      <c r="E228" s="9" t="str">
        <f t="shared" si="6"/>
        <v>INSERT INTO oecd_currencies (iso_country, country_name, iso_curry, curry_name) VALUES ('TN','TUNISIA','TND','Tunisian Dinar');</v>
      </c>
      <c r="F228" s="11" t="str">
        <f t="shared" si="7"/>
        <v>INSERT INTO oecd_currencies (iso_country, country_name, iso_curry, curry_name) VALUES ('TN','TUNISIA','TND','Tunisian Dinar');</v>
      </c>
    </row>
    <row r="229" spans="1:6" x14ac:dyDescent="0.25">
      <c r="A229" s="1" t="s">
        <v>635</v>
      </c>
      <c r="B229" s="2" t="s">
        <v>636</v>
      </c>
      <c r="C229" t="str">
        <f>VLOOKUP("*"&amp;B229&amp;"*",currCode_Type!A:C,2,FALSE)</f>
        <v>TRY</v>
      </c>
      <c r="D229" t="str">
        <f>VLOOKUP("*"&amp;B229&amp;"*",currCode_Type!A:C,3,FALSE)</f>
        <v>Turkish Lira</v>
      </c>
      <c r="E229" s="9" t="str">
        <f t="shared" si="6"/>
        <v>INSERT INTO oecd_currencies (iso_country, country_name, iso_curry, curry_name) VALUES ('TR','TURKEY','TRY','Turkish Lira');</v>
      </c>
      <c r="F229" s="11" t="str">
        <f t="shared" si="7"/>
        <v>INSERT INTO oecd_currencies (iso_country, country_name, iso_curry, curry_name) VALUES ('TR','TURKEY','TRY','Turkish Lira');</v>
      </c>
    </row>
    <row r="230" spans="1:6" x14ac:dyDescent="0.25">
      <c r="A230" s="3" t="s">
        <v>637</v>
      </c>
      <c r="B230" s="4" t="s">
        <v>638</v>
      </c>
      <c r="C230" t="str">
        <f>VLOOKUP("*"&amp;B230&amp;"*",currCode_Type!A:C,2,FALSE)</f>
        <v>TMT</v>
      </c>
      <c r="D230" t="str">
        <f>VLOOKUP("*"&amp;B230&amp;"*",currCode_Type!A:C,3,FALSE)</f>
        <v>Turkmenistan New Manat</v>
      </c>
      <c r="E230" s="9" t="str">
        <f t="shared" si="6"/>
        <v>INSERT INTO oecd_currencies (iso_country, country_name, iso_curry, curry_name) VALUES ('TM','TURKMENISTAN','TMT','Turkmenistan New Manat');</v>
      </c>
      <c r="F230" s="11" t="str">
        <f t="shared" si="7"/>
        <v>INSERT INTO oecd_currencies (iso_country, country_name, iso_curry, curry_name) VALUES ('TM','TURKMENISTAN','TMT','Turkmenistan New Manat');</v>
      </c>
    </row>
    <row r="231" spans="1:6" x14ac:dyDescent="0.25">
      <c r="A231" s="1" t="s">
        <v>639</v>
      </c>
      <c r="B231" s="2" t="s">
        <v>640</v>
      </c>
      <c r="C231" t="str">
        <f>VLOOKUP("*"&amp;B231&amp;"*",currCode_Type!A:C,2,FALSE)</f>
        <v>USD</v>
      </c>
      <c r="D231" t="str">
        <f>VLOOKUP("*"&amp;B231&amp;"*",currCode_Type!A:C,3,FALSE)</f>
        <v>US Dollar</v>
      </c>
      <c r="E231" s="9" t="str">
        <f t="shared" si="6"/>
        <v>INSERT INTO oecd_currencies (iso_country, country_name, iso_curry, curry_name) VALUES ('TC','TURKS AND CAICOS ISLANDS','USD','US Dollar');</v>
      </c>
      <c r="F231" s="11" t="str">
        <f t="shared" si="7"/>
        <v>INSERT INTO oecd_currencies (iso_country, country_name, iso_curry, curry_name) VALUES ('TC','TURKS AND CAICOS ISLANDS','USD','US Dollar');</v>
      </c>
    </row>
    <row r="232" spans="1:6" x14ac:dyDescent="0.25">
      <c r="A232" s="3" t="s">
        <v>641</v>
      </c>
      <c r="B232" s="4" t="s">
        <v>642</v>
      </c>
      <c r="C232" t="str">
        <f>VLOOKUP("*"&amp;B232&amp;"*",currCode_Type!A:C,2,FALSE)</f>
        <v>AUD</v>
      </c>
      <c r="D232" t="str">
        <f>VLOOKUP("*"&amp;B232&amp;"*",currCode_Type!A:C,3,FALSE)</f>
        <v>Australian Dollar</v>
      </c>
      <c r="E232" s="9" t="str">
        <f t="shared" si="6"/>
        <v>INSERT INTO oecd_currencies (iso_country, country_name, iso_curry, curry_name) VALUES ('TV','TUVALU','AUD','Australian Dollar');</v>
      </c>
      <c r="F232" s="11" t="str">
        <f t="shared" si="7"/>
        <v>INSERT INTO oecd_currencies (iso_country, country_name, iso_curry, curry_name) VALUES ('TV','TUVALU','AUD','Australian Dollar');</v>
      </c>
    </row>
    <row r="233" spans="1:6" x14ac:dyDescent="0.25">
      <c r="A233" s="1" t="s">
        <v>643</v>
      </c>
      <c r="B233" s="2" t="s">
        <v>644</v>
      </c>
      <c r="C233" t="str">
        <f>VLOOKUP("*"&amp;B233&amp;"*",currCode_Type!A:C,2,FALSE)</f>
        <v>UGX</v>
      </c>
      <c r="D233" t="str">
        <f>VLOOKUP("*"&amp;B233&amp;"*",currCode_Type!A:C,3,FALSE)</f>
        <v>Uganda Shilling</v>
      </c>
      <c r="E233" s="9" t="str">
        <f t="shared" si="6"/>
        <v>INSERT INTO oecd_currencies (iso_country, country_name, iso_curry, curry_name) VALUES ('UG','UGANDA','UGX','Uganda Shilling');</v>
      </c>
      <c r="F233" s="11" t="str">
        <f t="shared" si="7"/>
        <v>INSERT INTO oecd_currencies (iso_country, country_name, iso_curry, curry_name) VALUES ('UG','UGANDA','UGX','Uganda Shilling');</v>
      </c>
    </row>
    <row r="234" spans="1:6" x14ac:dyDescent="0.25">
      <c r="A234" s="3" t="s">
        <v>645</v>
      </c>
      <c r="B234" s="4" t="s">
        <v>646</v>
      </c>
      <c r="C234" t="str">
        <f>VLOOKUP("*"&amp;B234&amp;"*",currCode_Type!A:C,2,FALSE)</f>
        <v>UAH</v>
      </c>
      <c r="D234" t="str">
        <f>VLOOKUP("*"&amp;B234&amp;"*",currCode_Type!A:C,3,FALSE)</f>
        <v>Hryvnia</v>
      </c>
      <c r="E234" s="9" t="str">
        <f t="shared" si="6"/>
        <v>INSERT INTO oecd_currencies (iso_country, country_name, iso_curry, curry_name) VALUES ('UA','UKRAINE','UAH','Hryvnia');</v>
      </c>
      <c r="F234" s="11" t="str">
        <f t="shared" si="7"/>
        <v>INSERT INTO oecd_currencies (iso_country, country_name, iso_curry, curry_name) VALUES ('UA','UKRAINE','UAH','Hryvnia');</v>
      </c>
    </row>
    <row r="235" spans="1:6" x14ac:dyDescent="0.25">
      <c r="A235" s="1" t="s">
        <v>647</v>
      </c>
      <c r="B235" s="2" t="s">
        <v>648</v>
      </c>
      <c r="C235" t="str">
        <f>VLOOKUP("*"&amp;B235&amp;"*",currCode_Type!A:C,2,FALSE)</f>
        <v>AED</v>
      </c>
      <c r="D235" t="str">
        <f>VLOOKUP("*"&amp;B235&amp;"*",currCode_Type!A:C,3,FALSE)</f>
        <v>UAE Dirham</v>
      </c>
      <c r="E235" s="9" t="str">
        <f t="shared" si="6"/>
        <v>INSERT INTO oecd_currencies (iso_country, country_name, iso_curry, curry_name) VALUES ('AE','UNITED ARAB EMIRATES','AED','UAE Dirham');</v>
      </c>
      <c r="F235" s="11" t="str">
        <f t="shared" si="7"/>
        <v>INSERT INTO oecd_currencies (iso_country, country_name, iso_curry, curry_name) VALUES ('AE','UNITED ARAB EMIRATES','AED','UAE Dirham');</v>
      </c>
    </row>
    <row r="236" spans="1:6" x14ac:dyDescent="0.25">
      <c r="A236" s="3" t="s">
        <v>649</v>
      </c>
      <c r="B236" s="4" t="s">
        <v>650</v>
      </c>
      <c r="C236" t="str">
        <f>VLOOKUP("*"&amp;B236&amp;"*",currCode_Type!A:C,2,FALSE)</f>
        <v>GBP</v>
      </c>
      <c r="D236" t="str">
        <f>VLOOKUP("*"&amp;B236&amp;"*",currCode_Type!A:C,3,FALSE)</f>
        <v>Pound Sterling</v>
      </c>
      <c r="E236" s="9" t="str">
        <f t="shared" si="6"/>
        <v>INSERT INTO oecd_currencies (iso_country, country_name, iso_curry, curry_name) VALUES ('GB','UNITED KINGDOM','GBP','Pound Sterling');</v>
      </c>
      <c r="F236" s="11" t="str">
        <f t="shared" si="7"/>
        <v>INSERT INTO oecd_currencies (iso_country, country_name, iso_curry, curry_name) VALUES ('GB','UNITED KINGDOM','GBP','Pound Sterling');</v>
      </c>
    </row>
    <row r="237" spans="1:6" x14ac:dyDescent="0.25">
      <c r="A237" s="1" t="s">
        <v>651</v>
      </c>
      <c r="B237" s="2" t="s">
        <v>652</v>
      </c>
      <c r="C237" t="str">
        <f>VLOOKUP("*"&amp;B237&amp;"*",currCode_Type!A:C,2,FALSE)</f>
        <v>USD</v>
      </c>
      <c r="D237" t="str">
        <f>VLOOKUP("*"&amp;B237&amp;"*",currCode_Type!A:C,3,FALSE)</f>
        <v>US Dollar</v>
      </c>
      <c r="E237" s="9" t="str">
        <f t="shared" si="6"/>
        <v>INSERT INTO oecd_currencies (iso_country, country_name, iso_curry, curry_name) VALUES ('US','UNITED STATES','USD','US Dollar');</v>
      </c>
      <c r="F237" s="11" t="str">
        <f t="shared" si="7"/>
        <v>INSERT INTO oecd_currencies (iso_country, country_name, iso_curry, curry_name) VALUES ('US','UNITED STATES','USD','US Dollar');</v>
      </c>
    </row>
    <row r="238" spans="1:6" x14ac:dyDescent="0.25">
      <c r="A238" s="3" t="s">
        <v>653</v>
      </c>
      <c r="B238" s="4" t="s">
        <v>654</v>
      </c>
      <c r="C238" t="str">
        <f>VLOOKUP("*"&amp;B238&amp;"*",currCode_Type!A:C,2,FALSE)</f>
        <v>USD</v>
      </c>
      <c r="D238" t="str">
        <f>VLOOKUP("*"&amp;B238&amp;"*",currCode_Type!A:C,3,FALSE)</f>
        <v>US Dollar</v>
      </c>
      <c r="E238" s="9" t="str">
        <f t="shared" si="6"/>
        <v>INSERT INTO oecd_currencies (iso_country, country_name, iso_curry, curry_name) VALUES ('UM','UNITED STATES MINOR OUTLYING ISLANDS','USD','US Dollar');</v>
      </c>
      <c r="F238" s="11" t="str">
        <f t="shared" si="7"/>
        <v>INSERT INTO oecd_currencies (iso_country, country_name, iso_curry, curry_name) VALUES ('UM','UNITED STATES MINOR OUTLYING ISLANDS','USD','US Dollar');</v>
      </c>
    </row>
    <row r="239" spans="1:6" x14ac:dyDescent="0.25">
      <c r="A239" s="1" t="s">
        <v>655</v>
      </c>
      <c r="B239" s="2" t="s">
        <v>656</v>
      </c>
      <c r="C239" t="str">
        <f>VLOOKUP("*"&amp;B239&amp;"*",currCode_Type!A:C,2,FALSE)</f>
        <v>UYI</v>
      </c>
      <c r="D239" t="str">
        <f>VLOOKUP("*"&amp;B239&amp;"*",currCode_Type!A:C,3,FALSE)</f>
        <v>Uruguay Peso en Unidades Indexadas (URUIURUI)</v>
      </c>
      <c r="E239" s="9" t="str">
        <f t="shared" si="6"/>
        <v>INSERT INTO oecd_currencies (iso_country, country_name, iso_curry, curry_name) VALUES ('UY','URUGUAY','UYI','Uruguay Peso en Unidades Indexadas (URUIURUI)');</v>
      </c>
      <c r="F239" s="11" t="str">
        <f t="shared" si="7"/>
        <v>INSERT INTO oecd_currencies (iso_country, country_name, iso_curry, curry_name) VALUES ('UY','URUGUAY','UYI','Uruguay Peso en Unidades Indexadas (URUIURUI)');</v>
      </c>
    </row>
    <row r="240" spans="1:6" x14ac:dyDescent="0.25">
      <c r="A240" s="3" t="s">
        <v>657</v>
      </c>
      <c r="B240" s="4" t="s">
        <v>658</v>
      </c>
      <c r="C240" t="str">
        <f>VLOOKUP("*"&amp;B240&amp;"*",currCode_Type!A:C,2,FALSE)</f>
        <v>UZS</v>
      </c>
      <c r="D240" t="str">
        <f>VLOOKUP("*"&amp;B240&amp;"*",currCode_Type!A:C,3,FALSE)</f>
        <v>Uzbekistan Sum</v>
      </c>
      <c r="E240" s="9" t="str">
        <f t="shared" si="6"/>
        <v>INSERT INTO oecd_currencies (iso_country, country_name, iso_curry, curry_name) VALUES ('UZ','UZBEKISTAN','UZS','Uzbekistan Sum');</v>
      </c>
      <c r="F240" s="11" t="str">
        <f t="shared" si="7"/>
        <v>INSERT INTO oecd_currencies (iso_country, country_name, iso_curry, curry_name) VALUES ('UZ','UZBEKISTAN','UZS','Uzbekistan Sum');</v>
      </c>
    </row>
    <row r="241" spans="1:6" x14ac:dyDescent="0.25">
      <c r="A241" s="1" t="s">
        <v>659</v>
      </c>
      <c r="B241" s="2" t="s">
        <v>660</v>
      </c>
      <c r="C241" t="str">
        <f>VLOOKUP("*"&amp;B241&amp;"*",currCode_Type!A:C,2,FALSE)</f>
        <v>VUV</v>
      </c>
      <c r="D241" t="str">
        <f>VLOOKUP("*"&amp;B241&amp;"*",currCode_Type!A:C,3,FALSE)</f>
        <v>Vatu</v>
      </c>
      <c r="E241" s="9" t="str">
        <f t="shared" si="6"/>
        <v>INSERT INTO oecd_currencies (iso_country, country_name, iso_curry, curry_name) VALUES ('VU','VANUATU','VUV','Vatu');</v>
      </c>
      <c r="F241" s="11" t="str">
        <f t="shared" si="7"/>
        <v>INSERT INTO oecd_currencies (iso_country, country_name, iso_curry, curry_name) VALUES ('VU','VANUATU','VUV','Vatu');</v>
      </c>
    </row>
    <row r="242" spans="1:6" x14ac:dyDescent="0.25">
      <c r="A242" s="3" t="s">
        <v>661</v>
      </c>
      <c r="B242" s="4" t="s">
        <v>662</v>
      </c>
      <c r="C242" t="str">
        <f>VLOOKUP("*"&amp;B242&amp;"*",currCode_Type!A:C,2,FALSE)</f>
        <v>VEF</v>
      </c>
      <c r="D242" t="str">
        <f>VLOOKUP("*"&amp;B242&amp;"*",currCode_Type!A:C,3,FALSE)</f>
        <v>Bolivar</v>
      </c>
      <c r="E242" s="9" t="str">
        <f t="shared" si="6"/>
        <v>INSERT INTO oecd_currencies (iso_country, country_name, iso_curry, curry_name) VALUES ('VE','VENEZUELA, BOLIVARIAN REPUBLIC OF','VEF','Bolivar');</v>
      </c>
      <c r="F242" s="11" t="str">
        <f t="shared" si="7"/>
        <v>INSERT INTO oecd_currencies (iso_country, country_name, iso_curry, curry_name) VALUES ('VE','VENEZUELA, BOLIVARIAN REPUBLIC OF','VEF','Bolivar');</v>
      </c>
    </row>
    <row r="243" spans="1:6" x14ac:dyDescent="0.25">
      <c r="A243" s="1" t="s">
        <v>663</v>
      </c>
      <c r="B243" s="2" t="s">
        <v>664</v>
      </c>
      <c r="C243" t="str">
        <f>VLOOKUP("*"&amp;B243&amp;"*",currCode_Type!A:C,2,FALSE)</f>
        <v>VND</v>
      </c>
      <c r="D243" t="str">
        <f>VLOOKUP("*"&amp;B243&amp;"*",currCode_Type!A:C,3,FALSE)</f>
        <v>Dong</v>
      </c>
      <c r="E243" s="9" t="str">
        <f t="shared" si="6"/>
        <v>INSERT INTO oecd_currencies (iso_country, country_name, iso_curry, curry_name) VALUES ('VN','VIET NAM','VND','Dong');</v>
      </c>
      <c r="F243" s="11" t="str">
        <f t="shared" si="7"/>
        <v>INSERT INTO oecd_currencies (iso_country, country_name, iso_curry, curry_name) VALUES ('VN','VIET NAM','VND','Dong');</v>
      </c>
    </row>
    <row r="244" spans="1:6" x14ac:dyDescent="0.25">
      <c r="A244" s="3" t="s">
        <v>665</v>
      </c>
      <c r="B244" s="4" t="s">
        <v>666</v>
      </c>
      <c r="C244" t="e">
        <f>VLOOKUP("*"&amp;B244&amp;"*",currCode_Type!A:C,2,FALSE)</f>
        <v>#N/A</v>
      </c>
      <c r="D244" t="e">
        <f>VLOOKUP("*"&amp;B244&amp;"*",currCode_Type!A:C,3,FALSE)</f>
        <v>#N/A</v>
      </c>
      <c r="E244" s="9" t="e">
        <f t="shared" si="6"/>
        <v>#N/A</v>
      </c>
      <c r="F244" s="11" t="e">
        <f t="shared" si="7"/>
        <v>#N/A</v>
      </c>
    </row>
    <row r="245" spans="1:6" x14ac:dyDescent="0.25">
      <c r="A245" s="1" t="s">
        <v>667</v>
      </c>
      <c r="B245" s="2" t="s">
        <v>668</v>
      </c>
      <c r="C245" t="e">
        <f>VLOOKUP("*"&amp;B245&amp;"*",currCode_Type!A:C,2,FALSE)</f>
        <v>#N/A</v>
      </c>
      <c r="D245" t="e">
        <f>VLOOKUP("*"&amp;B245&amp;"*",currCode_Type!A:C,3,FALSE)</f>
        <v>#N/A</v>
      </c>
      <c r="E245" s="9" t="e">
        <f t="shared" si="6"/>
        <v>#N/A</v>
      </c>
      <c r="F245" s="11" t="e">
        <f t="shared" si="7"/>
        <v>#N/A</v>
      </c>
    </row>
    <row r="246" spans="1:6" x14ac:dyDescent="0.25">
      <c r="A246" s="3" t="s">
        <v>669</v>
      </c>
      <c r="B246" s="4" t="s">
        <v>670</v>
      </c>
      <c r="C246" t="str">
        <f>VLOOKUP("*"&amp;B246&amp;"*",currCode_Type!A:C,2,FALSE)</f>
        <v>XPF</v>
      </c>
      <c r="D246" t="str">
        <f>VLOOKUP("*"&amp;B246&amp;"*",currCode_Type!A:C,3,FALSE)</f>
        <v>CFP Franc</v>
      </c>
      <c r="E246" s="9" t="str">
        <f t="shared" si="6"/>
        <v>INSERT INTO oecd_currencies (iso_country, country_name, iso_curry, curry_name) VALUES ('WF','WALLIS AND FUTUNA','XPF','CFP Franc');</v>
      </c>
      <c r="F246" s="11" t="str">
        <f t="shared" si="7"/>
        <v>INSERT INTO oecd_currencies (iso_country, country_name, iso_curry, curry_name) VALUES ('WF','WALLIS AND FUTUNA','XPF','CFP Franc');</v>
      </c>
    </row>
    <row r="247" spans="1:6" x14ac:dyDescent="0.25">
      <c r="A247" s="1" t="s">
        <v>671</v>
      </c>
      <c r="B247" s="2" t="s">
        <v>672</v>
      </c>
      <c r="C247" t="str">
        <f>VLOOKUP("*"&amp;B247&amp;"*",currCode_Type!A:C,2,FALSE)</f>
        <v>MAD</v>
      </c>
      <c r="D247" t="str">
        <f>VLOOKUP("*"&amp;B247&amp;"*",currCode_Type!A:C,3,FALSE)</f>
        <v>Moroccan Dirham</v>
      </c>
      <c r="E247" s="9" t="str">
        <f t="shared" si="6"/>
        <v>INSERT INTO oecd_currencies (iso_country, country_name, iso_curry, curry_name) VALUES ('EH','WESTERN SAHARA','MAD','Moroccan Dirham');</v>
      </c>
      <c r="F247" s="11" t="str">
        <f t="shared" si="7"/>
        <v>INSERT INTO oecd_currencies (iso_country, country_name, iso_curry, curry_name) VALUES ('EH','WESTERN SAHARA','MAD','Moroccan Dirham');</v>
      </c>
    </row>
    <row r="248" spans="1:6" x14ac:dyDescent="0.25">
      <c r="A248" s="3" t="s">
        <v>673</v>
      </c>
      <c r="B248" s="4" t="s">
        <v>674</v>
      </c>
      <c r="C248" t="str">
        <f>VLOOKUP("*"&amp;B248&amp;"*",currCode_Type!A:C,2,FALSE)</f>
        <v>YER</v>
      </c>
      <c r="D248" t="str">
        <f>VLOOKUP("*"&amp;B248&amp;"*",currCode_Type!A:C,3,FALSE)</f>
        <v>Yemeni Rial</v>
      </c>
      <c r="E248" s="9" t="str">
        <f t="shared" si="6"/>
        <v>INSERT INTO oecd_currencies (iso_country, country_name, iso_curry, curry_name) VALUES ('YE','YEMEN','YER','Yemeni Rial');</v>
      </c>
      <c r="F248" s="11" t="str">
        <f t="shared" si="7"/>
        <v>INSERT INTO oecd_currencies (iso_country, country_name, iso_curry, curry_name) VALUES ('YE','YEMEN','YER','Yemeni Rial');</v>
      </c>
    </row>
    <row r="249" spans="1:6" x14ac:dyDescent="0.25">
      <c r="A249" s="1" t="s">
        <v>675</v>
      </c>
      <c r="B249" s="2" t="s">
        <v>676</v>
      </c>
      <c r="C249" t="str">
        <f>VLOOKUP("*"&amp;B249&amp;"*",currCode_Type!A:C,2,FALSE)</f>
        <v>ZMW</v>
      </c>
      <c r="D249" t="str">
        <f>VLOOKUP("*"&amp;B249&amp;"*",currCode_Type!A:C,3,FALSE)</f>
        <v>Zambian Kwacha</v>
      </c>
      <c r="E249" s="9" t="str">
        <f t="shared" si="6"/>
        <v>INSERT INTO oecd_currencies (iso_country, country_name, iso_curry, curry_name) VALUES ('ZM','ZAMBIA','ZMW','Zambian Kwacha');</v>
      </c>
      <c r="F249" s="11" t="str">
        <f t="shared" si="7"/>
        <v>INSERT INTO oecd_currencies (iso_country, country_name, iso_curry, curry_name) VALUES ('ZM','ZAMBIA','ZMW','Zambian Kwacha');</v>
      </c>
    </row>
    <row r="250" spans="1:6" x14ac:dyDescent="0.25">
      <c r="A250" s="3" t="s">
        <v>677</v>
      </c>
      <c r="B250" s="4" t="s">
        <v>678</v>
      </c>
      <c r="C250" t="str">
        <f>VLOOKUP("*"&amp;B250&amp;"*",currCode_Type!A:C,2,FALSE)</f>
        <v>ZWL</v>
      </c>
      <c r="D250" t="str">
        <f>VLOOKUP("*"&amp;B250&amp;"*",currCode_Type!A:C,3,FALSE)</f>
        <v>Zimbabwe Dollar</v>
      </c>
      <c r="E250" s="9" t="str">
        <f t="shared" si="6"/>
        <v>INSERT INTO oecd_currencies (iso_country, country_name, iso_curry, curry_name) VALUES ('ZW','ZIMBABWE','ZWL','Zimbabwe Dollar');</v>
      </c>
      <c r="F250" s="11" t="str">
        <f t="shared" si="7"/>
        <v>INSERT INTO oecd_currencies (iso_country, country_name, iso_curry, curry_name) VALUES ('ZW','ZIMBABWE','ZWL','Zimbabwe Dollar');</v>
      </c>
    </row>
    <row r="251" spans="1:6" x14ac:dyDescent="0.25">
      <c r="E251" s="9"/>
      <c r="F251" s="9"/>
    </row>
  </sheetData>
  <autoFilter ref="A1:D250"/>
  <pageMargins left="0.7" right="0.7" top="0.75" bottom="0.75" header="0.3" footer="0.3"/>
  <pageSetup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B3"/>
  <sheetViews>
    <sheetView topLeftCell="B1" workbookViewId="0">
      <selection activeCell="B3" sqref="B3"/>
    </sheetView>
  </sheetViews>
  <sheetFormatPr defaultRowHeight="15" x14ac:dyDescent="0.25"/>
  <cols>
    <col min="1" max="1" width="10" customWidth="1"/>
    <col min="2" max="2" width="223" bestFit="1" customWidth="1"/>
  </cols>
  <sheetData>
    <row r="1" spans="1:2" ht="90.75" customHeight="1" x14ac:dyDescent="0.25">
      <c r="A1" s="6" t="s">
        <v>1047</v>
      </c>
      <c r="B1" s="10" t="s">
        <v>1046</v>
      </c>
    </row>
    <row r="2" spans="1:2" x14ac:dyDescent="0.25">
      <c r="A2" s="14" t="s">
        <v>29</v>
      </c>
      <c r="B2" s="12" t="str">
        <f>"(select iso_country from OECD_CURRENCIES where iso_curry='"&amp;A2&amp;"')) m where country_req_id not in (select Country_id as country_eff_id from curry_country where curry_id = (select obj_id from obj_key where key_val = '"&amp;A2&amp;"' and obj_key_id = 9))"</f>
        <v>(select iso_country from OECD_CURRENCIES where iso_curry='CHF')) m where country_req_id not in (select Country_id as country_eff_id from curry_country where curry_id = (select obj_id from obj_key where key_val = 'CHF' and obj_key_id = 9))</v>
      </c>
    </row>
    <row r="3" spans="1:2" ht="45" x14ac:dyDescent="0.25">
      <c r="B3" s="13" t="s">
        <v>1048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Overview</vt:lpstr>
      <vt:lpstr>Matching Countries</vt:lpstr>
      <vt:lpstr>Missing Countries</vt:lpstr>
      <vt:lpstr>variables</vt:lpstr>
      <vt:lpstr>country in ava non oecd</vt:lpstr>
      <vt:lpstr>country in oecd non ava</vt:lpstr>
      <vt:lpstr>curry in ava non oecd</vt:lpstr>
      <vt:lpstr>curry in oecd non ava</vt:lpstr>
      <vt:lpstr>currCode_Type</vt:lpstr>
      <vt:lpstr>CountryCode_Type</vt:lpstr>
      <vt:lpstr>OECD Table</vt:lpstr>
      <vt:lpstr>Currency Check Script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Dillier</dc:creator>
  <cp:lastModifiedBy>Alain Sebastian Studer</cp:lastModifiedBy>
  <dcterms:created xsi:type="dcterms:W3CDTF">2017-11-27T14:24:12Z</dcterms:created>
  <dcterms:modified xsi:type="dcterms:W3CDTF">2017-12-22T17:02:39Z</dcterms:modified>
</cp:coreProperties>
</file>